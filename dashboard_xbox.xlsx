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xmlns:r="http://schemas.openxmlformats.org/officeDocument/2006/relationships" name="A̳ssets" sheetId="1" state="visible" r:id="rId1"/>
    <sheet xmlns:r="http://schemas.openxmlformats.org/officeDocument/2006/relationships" name="B̳ases" sheetId="2" state="visible" r:id="rId2"/>
    <sheet xmlns:r="http://schemas.openxmlformats.org/officeDocument/2006/relationships" name="C̳álculos" sheetId="3" state="visible" r:id="rId3"/>
    <sheet xmlns:r="http://schemas.openxmlformats.org/officeDocument/2006/relationships" name="D̳ashboar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R$&quot;\ * #,##0.00_-;\-&quot;R$&quot;\ * #,##0.00_-;_-&quot;R$&quot;\ * &quot;-&quot;??_-;_-@_-"/>
    <numFmt numFmtId="165" formatCode="&quot;US$&quot; #,##0.00"/>
    <numFmt numFmtId="166" formatCode="0.0%"/>
    <numFmt numFmtId="167" formatCode="&quot;US$&quot; #,##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9BC848"/>
      <sz val="22"/>
    </font>
    <font>
      <color rgb="00FFFFFF"/>
      <sz val="11"/>
    </font>
    <font>
      <color rgb="00595959"/>
      <sz val="10"/>
    </font>
    <font>
      <b val="1"/>
      <color rgb="001A1A1A"/>
      <sz val="22"/>
    </font>
  </fonts>
  <fills count="12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001A1A1A"/>
      </patternFill>
    </fill>
    <fill>
      <patternFill patternType="solid">
        <fgColor rgb="00E8E6E9"/>
      </patternFill>
    </fill>
    <fill>
      <patternFill patternType="solid">
        <fgColor rgb="00FFFFFF"/>
      </patternFill>
    </fill>
    <fill>
      <patternFill patternType="solid">
        <fgColor rgb="0022C55E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2" fillId="0" borderId="0"/>
    <xf numFmtId="0" fontId="1" fillId="0" borderId="1"/>
    <xf numFmtId="44" fontId="2" fillId="0" borderId="0"/>
  </cellStyleXfs>
  <cellXfs count="28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8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8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9" fillId="10" borderId="0" applyAlignment="1" pivotButton="0" quotePrefix="0" xfId="0">
      <alignment horizontal="center" vertical="center"/>
    </xf>
    <xf numFmtId="3" fontId="10" fillId="10" borderId="0" applyAlignment="1" pivotButton="0" quotePrefix="0" xfId="0">
      <alignment horizontal="center" vertical="center"/>
    </xf>
    <xf numFmtId="167" fontId="10" fillId="10" borderId="0" applyAlignment="1" pivotButton="0" quotePrefix="0" xfId="0">
      <alignment horizontal="center" vertical="center"/>
    </xf>
    <xf numFmtId="165" fontId="10" fillId="10" borderId="0" applyAlignment="1" pivotButton="0" quotePrefix="0" xfId="0">
      <alignment horizontal="center" vertical="center"/>
    </xf>
    <xf numFmtId="166" fontId="10" fillId="10" borderId="0" applyAlignment="1" pivotButton="0" quotePrefix="0" xfId="0">
      <alignment horizontal="center" vertical="center"/>
    </xf>
  </cellXfs>
  <cellStyles count="3">
    <cellStyle name="Normal" xfId="0" builtinId="0"/>
    <cellStyle name="Título 1" xfId="1" builtinId="16"/>
    <cellStyle name="Moeda" xfId="2" builtinId="4"/>
  </cellStyles>
  <dxfs count="22">
    <dxf>
      <numFmt numFmtId="1" formatCode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" formatCode="0"/>
    </dxf>
    <dxf>
      <numFmt numFmtId="34" formatCode="_-&quot;R$&quot;\ * #,##0.00_-;\-&quot;R$&quot;\ * #,##0.00_-;_-&quot;R$&quot;\ * &quot;-&quot;??_-;_-@_-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 (US$)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'C̳álculos'!C11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AE6B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'C̳álculos'!$A$12:$A$14</f>
            </numRef>
          </cat>
          <val>
            <numRef>
              <f>'C̳álculos'!$C$12:$C$14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Assinantes por tipo de assinatura</a:t>
            </a:r>
          </a:p>
        </rich>
      </tx>
    </title>
    <plotArea>
      <doughnutChart>
        <varyColors val="1"/>
        <ser>
          <idx val="0"/>
          <order val="0"/>
          <tx>
            <strRef>
              <f>'C̳álculos'!B18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AE6B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'C̳álculos'!$A$19:$A$21</f>
            </numRef>
          </cat>
          <val>
            <numRef>
              <f>'C̳álculos'!$B$19:$B$21</f>
            </numRef>
          </val>
        </ser>
        <firstSliceAng val="0"/>
        <holeSize val="10"/>
      </doughnut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Renovação automática</a:t>
            </a:r>
          </a:p>
        </rich>
      </tx>
    </title>
    <plotArea>
      <doughnutChart>
        <varyColors val="1"/>
        <ser>
          <idx val="0"/>
          <order val="0"/>
          <tx>
            <strRef>
              <f>'C̳álculos'!B25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'C̳álculos'!$A$26:$A$27</f>
            </numRef>
          </cat>
          <val>
            <numRef>
              <f>'C̳álculos'!$B$26:$B$27</f>
            </numRef>
          </val>
        </ser>
        <firstSliceAng val="0"/>
        <holeSize val="10"/>
      </doughnutChart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Novas assinaturas por mês</a:t>
            </a:r>
          </a:p>
        </rich>
      </tx>
    </title>
    <plotArea>
      <lineChart>
        <grouping val="standard"/>
        <ser>
          <idx val="0"/>
          <order val="0"/>
          <tx>
            <strRef>
              <f>'C̳álculos'!B34</f>
            </strRef>
          </tx>
          <spPr>
            <a:ln xmlns:a="http://schemas.openxmlformats.org/drawingml/2006/main" w="28000">
              <a:solidFill>
                <a:srgbClr val="22C55E"/>
              </a:solidFill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dLbls>
            <showLegendKey val="0"/>
            <showVal val="1"/>
            <showCatName val="0"/>
            <showSerName val="0"/>
            <showPercent val="0"/>
          </dLbls>
          <cat>
            <numRef>
              <f>'C̳álculos'!$A$35:$A$46</f>
            </numRef>
          </cat>
          <val>
            <numRef>
              <f>'C̳álculos'!$B$35:$B$46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dos passes adicionais (US$)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'C̳álculos'!C31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'C̳álculos'!$A$32:$A$33</f>
            </numRef>
          </cat>
          <val>
            <numRef>
              <f>'C̳álculos'!$C$32:$C$33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tipo de assinatura (US$)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'C̳álculos'!C18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solidFill>
                <a:srgbClr val="22C55E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BC848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AE6B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</dLbls>
          <cat>
            <numRef>
              <f>'C̳álculos'!$A$19:$A$21</f>
            </numRef>
          </cat>
          <val>
            <numRef>
              <f>'C̳álculos'!$C$19:$C$21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4248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4248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9</row>
      <rowOff>0</rowOff>
    </from>
    <ext cx="4248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25</row>
      <rowOff>0</rowOff>
    </from>
    <ext cx="6480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17</col>
      <colOff>0</colOff>
      <row>25</row>
      <rowOff>0</rowOff>
    </from>
    <ext cx="4248000" cy="273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41</row>
      <rowOff>0</rowOff>
    </from>
    <ext cx="6480000" cy="273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" displayName="Tabela1" ref="A1:M296" headerRowCount="1" totalsRowShown="0" dataDxfId="21">
  <autoFilter ref="A1:M296">
    <filterColumn colId="7" hiddenButton="0" showButton="1">
      <filters>
        <filter val="Yes"/>
      </filters>
    </filterColumn>
  </autoFilter>
  <tableColumns count="13">
    <tableColumn id="1" name="ID do Assinante" dataDxfId="20"/>
    <tableColumn id="2" name="Nome" dataDxfId="19"/>
    <tableColumn id="3" name="Plano" dataDxfId="18"/>
    <tableColumn id="4" name="Data de Início" dataDxfId="17"/>
    <tableColumn id="5" name="Renovação Automática" dataDxfId="16"/>
    <tableColumn id="6" name="Preço da Assinatura" dataDxfId="15" dataCellStyle="Moeda"/>
    <tableColumn id="7" name="Tipo de Assinatura" dataDxfId="14"/>
    <tableColumn id="8" name="Passe de Temporada EA Play" dataDxfId="13"/>
    <tableColumn id="13" name="Preço do Passe EA Play" dataDxfId="12" dataCellStyle="Moeda"/>
    <tableColumn id="9" name="Passe de Temporada Minecraft" dataDxfId="11"/>
    <tableColumn id="10" name="Preço do Passe Minecraft" dataDxfId="10" dataCellStyle="Moeda"/>
    <tableColumn id="11" name="Valor do Cupom" dataDxfId="9" dataCellStyle="Moeda"/>
    <tableColumn id="12" name="Valor Total" dataDxfId="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abSelected="0" zoomScaleNormal="100" workbookViewId="0">
      <selection activeCell="D31" sqref="D31"/>
    </sheetView>
  </sheetViews>
  <sheetFormatPr baseColWidth="8" defaultRowHeight="15"/>
  <cols>
    <col width="3.5703125" customWidth="1" min="9" max="9"/>
  </cols>
  <sheetData>
    <row r="3" ht="20.25" customHeight="1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tabSelected="0" zoomScale="90" zoomScaleNormal="90" workbookViewId="0">
      <selection activeCell="I2" sqref="I2:I294"/>
    </sheetView>
  </sheetViews>
  <sheetFormatPr baseColWidth="8" defaultRowHeight="15"/>
  <cols>
    <col width="17.85546875" bestFit="1" customWidth="1" min="1" max="1"/>
    <col width="18.85546875" bestFit="1" customWidth="1" min="2" max="2"/>
    <col width="9.42578125" bestFit="1" customWidth="1" min="3" max="3"/>
    <col width="14.5703125" bestFit="1" customWidth="1" min="4" max="4"/>
    <col width="18" bestFit="1" customWidth="1" min="5" max="5"/>
    <col width="14.7109375" bestFit="1" customWidth="1" min="6" max="6"/>
    <col width="22" bestFit="1" customWidth="1" min="7" max="7"/>
    <col width="20.5703125" bestFit="1" customWidth="1" min="8" max="8"/>
    <col width="20.5703125" customWidth="1" min="9" max="9"/>
    <col width="16.7109375" bestFit="1" customWidth="1" min="10" max="10"/>
    <col width="21.28515625" bestFit="1" customWidth="1" min="11" max="11"/>
    <col width="12.7109375" bestFit="1" customWidth="1" min="12" max="12"/>
    <col width="10.5703125" bestFit="1" customWidth="1" min="13" max="13"/>
  </cols>
  <sheetData>
    <row r="1" ht="30" customHeight="1">
      <c r="A1" s="9" t="inlineStr">
        <is>
          <t>ID do Assinante</t>
        </is>
      </c>
      <c r="B1" s="9" t="inlineStr">
        <is>
          <t>Nome</t>
        </is>
      </c>
      <c r="C1" s="9" t="inlineStr">
        <is>
          <t>Plano</t>
        </is>
      </c>
      <c r="D1" s="9" t="inlineStr">
        <is>
          <t>Data de Início</t>
        </is>
      </c>
      <c r="E1" s="9" t="inlineStr">
        <is>
          <t>Renovação Automática</t>
        </is>
      </c>
      <c r="F1" s="9" t="inlineStr">
        <is>
          <t>Preço da Assinatura</t>
        </is>
      </c>
      <c r="G1" s="9" t="inlineStr">
        <is>
          <t>Tipo de Assinatura</t>
        </is>
      </c>
      <c r="H1" s="9" t="inlineStr">
        <is>
          <t>Passe de Temporada EA Play</t>
        </is>
      </c>
      <c r="I1" s="9" t="inlineStr">
        <is>
          <t>Preço do Passe EA Play</t>
        </is>
      </c>
      <c r="J1" s="9" t="inlineStr">
        <is>
          <t>Passe de Temporada Minecraft</t>
        </is>
      </c>
      <c r="K1" s="9" t="inlineStr">
        <is>
          <t>Preço do Passe Minecraft</t>
        </is>
      </c>
      <c r="L1" s="9" t="inlineStr">
        <is>
          <t>Valor do Cupom</t>
        </is>
      </c>
      <c r="M1" s="9" t="inlineStr">
        <is>
          <t>Valor Total</t>
        </is>
      </c>
    </row>
    <row r="2" ht="16.5" customHeight="1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Sim</t>
        </is>
      </c>
      <c r="F2" s="12" t="n">
        <v>15</v>
      </c>
      <c r="G2" s="8" t="inlineStr">
        <is>
          <t>Mensal</t>
        </is>
      </c>
      <c r="H2" s="8" t="inlineStr">
        <is>
          <t>Sim</t>
        </is>
      </c>
      <c r="I2" s="12" t="n">
        <v>30</v>
      </c>
      <c r="J2" s="8" t="inlineStr">
        <is>
          <t>Sim</t>
        </is>
      </c>
      <c r="K2" s="12" t="n">
        <v>20</v>
      </c>
      <c r="L2" s="12" t="n">
        <v>5</v>
      </c>
      <c r="M2" s="12" t="n">
        <v>60</v>
      </c>
    </row>
    <row r="3" hidden="1" ht="16.5" customHeight="1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Não</t>
        </is>
      </c>
      <c r="F3" s="12" t="n">
        <v>5</v>
      </c>
      <c r="G3" s="8" t="inlineStr">
        <is>
          <t>Anual</t>
        </is>
      </c>
      <c r="H3" s="8" t="inlineStr">
        <is>
          <t>Não</t>
        </is>
      </c>
      <c r="I3" s="12" t="inlineStr">
        <is>
          <t>-</t>
        </is>
      </c>
      <c r="J3" s="8" t="inlineStr">
        <is>
          <t>Não</t>
        </is>
      </c>
      <c r="K3" s="12" t="n">
        <v>0</v>
      </c>
      <c r="L3" s="12" t="n">
        <v>0</v>
      </c>
      <c r="M3" s="12" t="n">
        <v>5</v>
      </c>
    </row>
    <row r="4" hidden="1" ht="16.5" customHeight="1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Sim</t>
        </is>
      </c>
      <c r="F4" s="12" t="n">
        <v>10</v>
      </c>
      <c r="G4" s="8" t="inlineStr">
        <is>
          <t>Trimestral</t>
        </is>
      </c>
      <c r="H4" s="8" t="inlineStr">
        <is>
          <t>Não</t>
        </is>
      </c>
      <c r="I4" s="12" t="inlineStr">
        <is>
          <t>-</t>
        </is>
      </c>
      <c r="J4" s="8" t="inlineStr">
        <is>
          <t>Sim</t>
        </is>
      </c>
      <c r="K4" s="12" t="n">
        <v>20</v>
      </c>
      <c r="L4" s="12" t="n">
        <v>10</v>
      </c>
      <c r="M4" s="12" t="n">
        <v>20</v>
      </c>
    </row>
    <row r="5" ht="16.5" customHeight="1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Não</t>
        </is>
      </c>
      <c r="F5" s="12" t="n">
        <v>15</v>
      </c>
      <c r="G5" s="8" t="inlineStr">
        <is>
          <t>Mensal</t>
        </is>
      </c>
      <c r="H5" s="8" t="inlineStr">
        <is>
          <t>Sim</t>
        </is>
      </c>
      <c r="I5" s="12" t="n">
        <v>30</v>
      </c>
      <c r="J5" s="8" t="inlineStr">
        <is>
          <t>Sim</t>
        </is>
      </c>
      <c r="K5" s="12" t="n">
        <v>20</v>
      </c>
      <c r="L5" s="12" t="n">
        <v>3</v>
      </c>
      <c r="M5" s="12" t="n">
        <v>62</v>
      </c>
    </row>
    <row r="6" hidden="1" ht="16.5" customHeight="1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Sim</t>
        </is>
      </c>
      <c r="F6" s="12" t="n">
        <v>5</v>
      </c>
      <c r="G6" s="8" t="inlineStr">
        <is>
          <t>Mensal</t>
        </is>
      </c>
      <c r="H6" s="8" t="inlineStr">
        <is>
          <t>Não</t>
        </is>
      </c>
      <c r="I6" s="12" t="inlineStr">
        <is>
          <t>-</t>
        </is>
      </c>
      <c r="J6" s="8" t="inlineStr">
        <is>
          <t>Não</t>
        </is>
      </c>
      <c r="K6" s="12" t="n">
        <v>0</v>
      </c>
      <c r="L6" s="12" t="n">
        <v>1</v>
      </c>
      <c r="M6" s="12" t="n">
        <v>4</v>
      </c>
    </row>
    <row r="7" hidden="1" ht="16.5" customHeight="1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Não</t>
        </is>
      </c>
      <c r="F7" s="12" t="n">
        <v>10</v>
      </c>
      <c r="G7" s="8" t="inlineStr">
        <is>
          <t>Mensal</t>
        </is>
      </c>
      <c r="H7" s="8" t="inlineStr">
        <is>
          <t>Não</t>
        </is>
      </c>
      <c r="I7" s="12" t="inlineStr">
        <is>
          <t>-</t>
        </is>
      </c>
      <c r="J7" s="8" t="inlineStr">
        <is>
          <t>Sim</t>
        </is>
      </c>
      <c r="K7" s="12" t="n">
        <v>20</v>
      </c>
      <c r="L7" s="12" t="n">
        <v>2</v>
      </c>
      <c r="M7" s="12" t="n">
        <v>28</v>
      </c>
    </row>
    <row r="8" ht="16.5" customHeight="1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Sim</t>
        </is>
      </c>
      <c r="F8" s="12" t="n">
        <v>15</v>
      </c>
      <c r="G8" s="8" t="inlineStr">
        <is>
          <t>Trimestral</t>
        </is>
      </c>
      <c r="H8" s="8" t="inlineStr">
        <is>
          <t>Sim</t>
        </is>
      </c>
      <c r="I8" s="12" t="n">
        <v>30</v>
      </c>
      <c r="J8" s="8" t="inlineStr">
        <is>
          <t>Sim</t>
        </is>
      </c>
      <c r="K8" s="12" t="n">
        <v>20</v>
      </c>
      <c r="L8" s="12" t="n">
        <v>10</v>
      </c>
      <c r="M8" s="12" t="n">
        <v>55</v>
      </c>
    </row>
    <row r="9" hidden="1" ht="16.5" customHeight="1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Sim</t>
        </is>
      </c>
      <c r="F9" s="12" t="n">
        <v>5</v>
      </c>
      <c r="G9" s="8" t="inlineStr">
        <is>
          <t>Anual</t>
        </is>
      </c>
      <c r="H9" s="8" t="inlineStr">
        <is>
          <t>Não</t>
        </is>
      </c>
      <c r="I9" s="12" t="inlineStr">
        <is>
          <t>-</t>
        </is>
      </c>
      <c r="J9" s="8" t="inlineStr">
        <is>
          <t>Não</t>
        </is>
      </c>
      <c r="K9" s="12" t="n">
        <v>0</v>
      </c>
      <c r="L9" s="12" t="n">
        <v>0</v>
      </c>
      <c r="M9" s="12" t="n">
        <v>5</v>
      </c>
    </row>
    <row r="10" ht="16.5" customHeight="1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Não</t>
        </is>
      </c>
      <c r="F10" s="12" t="n">
        <v>15</v>
      </c>
      <c r="G10" s="8" t="inlineStr">
        <is>
          <t>Mensal</t>
        </is>
      </c>
      <c r="H10" s="8" t="inlineStr">
        <is>
          <t>Sim</t>
        </is>
      </c>
      <c r="I10" s="12" t="n">
        <v>30</v>
      </c>
      <c r="J10" s="8" t="inlineStr">
        <is>
          <t>Sim</t>
        </is>
      </c>
      <c r="K10" s="12" t="n">
        <v>20</v>
      </c>
      <c r="L10" s="12" t="n">
        <v>5</v>
      </c>
      <c r="M10" s="12" t="n">
        <v>60</v>
      </c>
    </row>
    <row r="11" hidden="1" ht="16.5" customHeight="1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Sim</t>
        </is>
      </c>
      <c r="F11" s="12" t="n">
        <v>10</v>
      </c>
      <c r="G11" s="8" t="inlineStr">
        <is>
          <t>Trimestral</t>
        </is>
      </c>
      <c r="H11" s="8" t="inlineStr">
        <is>
          <t>Não</t>
        </is>
      </c>
      <c r="I11" s="12" t="inlineStr">
        <is>
          <t>-</t>
        </is>
      </c>
      <c r="J11" s="8" t="inlineStr">
        <is>
          <t>Sim</t>
        </is>
      </c>
      <c r="K11" s="12" t="n">
        <v>20</v>
      </c>
      <c r="L11" s="12" t="n">
        <v>15</v>
      </c>
      <c r="M11" s="12" t="n">
        <v>15</v>
      </c>
    </row>
    <row r="12" hidden="1" ht="16.5" customHeight="1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Não</t>
        </is>
      </c>
      <c r="F12" s="12" t="n">
        <v>5</v>
      </c>
      <c r="G12" s="8" t="inlineStr">
        <is>
          <t>Mensal</t>
        </is>
      </c>
      <c r="H12" s="8" t="inlineStr">
        <is>
          <t>Não</t>
        </is>
      </c>
      <c r="I12" s="12" t="inlineStr">
        <is>
          <t>-</t>
        </is>
      </c>
      <c r="J12" s="8" t="inlineStr">
        <is>
          <t>Não</t>
        </is>
      </c>
      <c r="K12" s="12" t="n">
        <v>0</v>
      </c>
      <c r="L12" s="12" t="n">
        <v>1</v>
      </c>
      <c r="M12" s="12" t="n">
        <v>4</v>
      </c>
    </row>
    <row r="13" ht="16.5" customHeight="1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Sim</t>
        </is>
      </c>
      <c r="F13" s="12" t="n">
        <v>15</v>
      </c>
      <c r="G13" s="8" t="inlineStr">
        <is>
          <t>Anual</t>
        </is>
      </c>
      <c r="H13" s="8" t="inlineStr">
        <is>
          <t>Sim</t>
        </is>
      </c>
      <c r="I13" s="12" t="n">
        <v>30</v>
      </c>
      <c r="J13" s="8" t="inlineStr">
        <is>
          <t>Sim</t>
        </is>
      </c>
      <c r="K13" s="12" t="n">
        <v>20</v>
      </c>
      <c r="L13" s="12" t="n">
        <v>20</v>
      </c>
      <c r="M13" s="12" t="n">
        <v>45</v>
      </c>
    </row>
    <row r="14" hidden="1" ht="16.5" customHeight="1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Não</t>
        </is>
      </c>
      <c r="F14" s="12" t="n">
        <v>10</v>
      </c>
      <c r="G14" s="8" t="inlineStr">
        <is>
          <t>Mensal</t>
        </is>
      </c>
      <c r="H14" s="8" t="inlineStr">
        <is>
          <t>Não</t>
        </is>
      </c>
      <c r="I14" s="12" t="inlineStr">
        <is>
          <t>-</t>
        </is>
      </c>
      <c r="J14" s="8" t="inlineStr">
        <is>
          <t>Sim</t>
        </is>
      </c>
      <c r="K14" s="12" t="n">
        <v>20</v>
      </c>
      <c r="L14" s="12" t="n">
        <v>10</v>
      </c>
      <c r="M14" s="12" t="n">
        <v>20</v>
      </c>
    </row>
    <row r="15" hidden="1" ht="16.5" customHeight="1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Sim</t>
        </is>
      </c>
      <c r="F15" s="12" t="n">
        <v>5</v>
      </c>
      <c r="G15" s="8" t="inlineStr">
        <is>
          <t>Trimestral</t>
        </is>
      </c>
      <c r="H15" s="8" t="inlineStr">
        <is>
          <t>Não</t>
        </is>
      </c>
      <c r="I15" s="12" t="inlineStr">
        <is>
          <t>-</t>
        </is>
      </c>
      <c r="J15" s="8" t="inlineStr">
        <is>
          <t>Não</t>
        </is>
      </c>
      <c r="K15" s="12" t="n">
        <v>0</v>
      </c>
      <c r="L15" s="12" t="n">
        <v>0</v>
      </c>
      <c r="M15" s="12" t="n">
        <v>5</v>
      </c>
    </row>
    <row r="16" ht="16.5" customHeight="1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Não</t>
        </is>
      </c>
      <c r="F16" s="12" t="n">
        <v>15</v>
      </c>
      <c r="G16" s="8" t="inlineStr">
        <is>
          <t>Mensal</t>
        </is>
      </c>
      <c r="H16" s="8" t="inlineStr">
        <is>
          <t>Sim</t>
        </is>
      </c>
      <c r="I16" s="12" t="n">
        <v>30</v>
      </c>
      <c r="J16" s="8" t="inlineStr">
        <is>
          <t>Sim</t>
        </is>
      </c>
      <c r="K16" s="12" t="n">
        <v>20</v>
      </c>
      <c r="L16" s="12" t="n">
        <v>8</v>
      </c>
      <c r="M16" s="12" t="n">
        <v>57</v>
      </c>
    </row>
    <row r="17" hidden="1" ht="16.5" customHeight="1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Sim</t>
        </is>
      </c>
      <c r="F17" s="12" t="n">
        <v>10</v>
      </c>
      <c r="G17" s="8" t="inlineStr">
        <is>
          <t>Anual</t>
        </is>
      </c>
      <c r="H17" s="8" t="inlineStr">
        <is>
          <t>Não</t>
        </is>
      </c>
      <c r="I17" s="12" t="inlineStr">
        <is>
          <t>-</t>
        </is>
      </c>
      <c r="J17" s="8" t="inlineStr">
        <is>
          <t>Sim</t>
        </is>
      </c>
      <c r="K17" s="12" t="n">
        <v>20</v>
      </c>
      <c r="L17" s="12" t="n">
        <v>12</v>
      </c>
      <c r="M17" s="12" t="n">
        <v>18</v>
      </c>
    </row>
    <row r="18" hidden="1" ht="16.5" customHeight="1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Não</t>
        </is>
      </c>
      <c r="F18" s="12" t="n">
        <v>5</v>
      </c>
      <c r="G18" s="8" t="inlineStr">
        <is>
          <t>Mensal</t>
        </is>
      </c>
      <c r="H18" s="8" t="inlineStr">
        <is>
          <t>Não</t>
        </is>
      </c>
      <c r="I18" s="12" t="inlineStr">
        <is>
          <t>-</t>
        </is>
      </c>
      <c r="J18" s="8" t="inlineStr">
        <is>
          <t>Não</t>
        </is>
      </c>
      <c r="K18" s="12" t="n">
        <v>0</v>
      </c>
      <c r="L18" s="12" t="n">
        <v>2</v>
      </c>
      <c r="M18" s="12" t="n">
        <v>3</v>
      </c>
    </row>
    <row r="19" ht="16.5" customHeight="1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Sim</t>
        </is>
      </c>
      <c r="F19" s="12" t="n">
        <v>15</v>
      </c>
      <c r="G19" s="8" t="inlineStr">
        <is>
          <t>Trimestral</t>
        </is>
      </c>
      <c r="H19" s="8" t="inlineStr">
        <is>
          <t>Sim</t>
        </is>
      </c>
      <c r="I19" s="12" t="n">
        <v>30</v>
      </c>
      <c r="J19" s="8" t="inlineStr">
        <is>
          <t>Sim</t>
        </is>
      </c>
      <c r="K19" s="12" t="n">
        <v>20</v>
      </c>
      <c r="L19" s="12" t="n">
        <v>7</v>
      </c>
      <c r="M19" s="12" t="n">
        <v>58</v>
      </c>
    </row>
    <row r="20" hidden="1" ht="16.5" customHeight="1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Não</t>
        </is>
      </c>
      <c r="F20" s="12" t="n">
        <v>10</v>
      </c>
      <c r="G20" s="8" t="inlineStr">
        <is>
          <t>Mensal</t>
        </is>
      </c>
      <c r="H20" s="8" t="inlineStr">
        <is>
          <t>Não</t>
        </is>
      </c>
      <c r="I20" s="12" t="inlineStr">
        <is>
          <t>-</t>
        </is>
      </c>
      <c r="J20" s="8" t="inlineStr">
        <is>
          <t>Sim</t>
        </is>
      </c>
      <c r="K20" s="12" t="n">
        <v>20</v>
      </c>
      <c r="L20" s="12" t="n">
        <v>5</v>
      </c>
      <c r="M20" s="12" t="n">
        <v>25</v>
      </c>
    </row>
    <row r="21" hidden="1" ht="16.5" customHeight="1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Sim</t>
        </is>
      </c>
      <c r="F21" s="12" t="n">
        <v>5</v>
      </c>
      <c r="G21" s="8" t="inlineStr">
        <is>
          <t>Anual</t>
        </is>
      </c>
      <c r="H21" s="8" t="inlineStr">
        <is>
          <t>Não</t>
        </is>
      </c>
      <c r="I21" s="12" t="inlineStr">
        <is>
          <t>-</t>
        </is>
      </c>
      <c r="J21" s="8" t="inlineStr">
        <is>
          <t>Não</t>
        </is>
      </c>
      <c r="K21" s="12" t="n">
        <v>0</v>
      </c>
      <c r="L21" s="12" t="n">
        <v>0</v>
      </c>
      <c r="M21" s="12" t="n">
        <v>5</v>
      </c>
    </row>
    <row r="22" ht="16.5" customHeight="1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Não</t>
        </is>
      </c>
      <c r="F22" s="12" t="n">
        <v>15</v>
      </c>
      <c r="G22" s="8" t="inlineStr">
        <is>
          <t>Mensal</t>
        </is>
      </c>
      <c r="H22" s="8" t="inlineStr">
        <is>
          <t>Sim</t>
        </is>
      </c>
      <c r="I22" s="12" t="n">
        <v>30</v>
      </c>
      <c r="J22" s="8" t="inlineStr">
        <is>
          <t>Sim</t>
        </is>
      </c>
      <c r="K22" s="12" t="n">
        <v>20</v>
      </c>
      <c r="L22" s="12" t="n">
        <v>3</v>
      </c>
      <c r="M22" s="12" t="n">
        <v>62</v>
      </c>
    </row>
    <row r="23" hidden="1" ht="16.5" customHeight="1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Sim</t>
        </is>
      </c>
      <c r="F23" s="12" t="n">
        <v>10</v>
      </c>
      <c r="G23" s="8" t="inlineStr">
        <is>
          <t>Trimestral</t>
        </is>
      </c>
      <c r="H23" s="8" t="inlineStr">
        <is>
          <t>Não</t>
        </is>
      </c>
      <c r="I23" s="12" t="inlineStr">
        <is>
          <t>-</t>
        </is>
      </c>
      <c r="J23" s="8" t="inlineStr">
        <is>
          <t>Sim</t>
        </is>
      </c>
      <c r="K23" s="12" t="n">
        <v>20</v>
      </c>
      <c r="L23" s="12" t="n">
        <v>15</v>
      </c>
      <c r="M23" s="12" t="n">
        <v>15</v>
      </c>
    </row>
    <row r="24" hidden="1" ht="16.5" customHeight="1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Não</t>
        </is>
      </c>
      <c r="F24" s="12" t="n">
        <v>5</v>
      </c>
      <c r="G24" s="8" t="inlineStr">
        <is>
          <t>Mensal</t>
        </is>
      </c>
      <c r="H24" s="8" t="inlineStr">
        <is>
          <t>Não</t>
        </is>
      </c>
      <c r="I24" s="12" t="inlineStr">
        <is>
          <t>-</t>
        </is>
      </c>
      <c r="J24" s="8" t="inlineStr">
        <is>
          <t>Não</t>
        </is>
      </c>
      <c r="K24" s="12" t="n">
        <v>0</v>
      </c>
      <c r="L24" s="12" t="n">
        <v>1</v>
      </c>
      <c r="M24" s="12" t="n">
        <v>4</v>
      </c>
    </row>
    <row r="25" ht="16.5" customHeight="1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Sim</t>
        </is>
      </c>
      <c r="F25" s="12" t="n">
        <v>15</v>
      </c>
      <c r="G25" s="8" t="inlineStr">
        <is>
          <t>Anual</t>
        </is>
      </c>
      <c r="H25" s="8" t="inlineStr">
        <is>
          <t>Sim</t>
        </is>
      </c>
      <c r="I25" s="12" t="n">
        <v>30</v>
      </c>
      <c r="J25" s="8" t="inlineStr">
        <is>
          <t>Sim</t>
        </is>
      </c>
      <c r="K25" s="12" t="n">
        <v>20</v>
      </c>
      <c r="L25" s="12" t="n">
        <v>20</v>
      </c>
      <c r="M25" s="12" t="n">
        <v>45</v>
      </c>
    </row>
    <row r="26" hidden="1" ht="16.5" customHeight="1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Não</t>
        </is>
      </c>
      <c r="F26" s="12" t="n">
        <v>10</v>
      </c>
      <c r="G26" s="8" t="inlineStr">
        <is>
          <t>Mensal</t>
        </is>
      </c>
      <c r="H26" s="8" t="inlineStr">
        <is>
          <t>Não</t>
        </is>
      </c>
      <c r="I26" s="12" t="inlineStr">
        <is>
          <t>-</t>
        </is>
      </c>
      <c r="J26" s="8" t="inlineStr">
        <is>
          <t>Sim</t>
        </is>
      </c>
      <c r="K26" s="12" t="n">
        <v>20</v>
      </c>
      <c r="L26" s="12" t="n">
        <v>10</v>
      </c>
      <c r="M26" s="12" t="n">
        <v>20</v>
      </c>
    </row>
    <row r="27" hidden="1" ht="16.5" customHeight="1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Sim</t>
        </is>
      </c>
      <c r="F27" s="12" t="n">
        <v>5</v>
      </c>
      <c r="G27" s="8" t="inlineStr">
        <is>
          <t>Trimestral</t>
        </is>
      </c>
      <c r="H27" s="8" t="inlineStr">
        <is>
          <t>Não</t>
        </is>
      </c>
      <c r="I27" s="12" t="inlineStr">
        <is>
          <t>-</t>
        </is>
      </c>
      <c r="J27" s="8" t="inlineStr">
        <is>
          <t>Não</t>
        </is>
      </c>
      <c r="K27" s="12" t="n">
        <v>0</v>
      </c>
      <c r="L27" s="12" t="n">
        <v>0</v>
      </c>
      <c r="M27" s="12" t="n">
        <v>5</v>
      </c>
    </row>
    <row r="28" ht="16.5" customHeight="1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Não</t>
        </is>
      </c>
      <c r="F28" s="12" t="n">
        <v>15</v>
      </c>
      <c r="G28" s="8" t="inlineStr">
        <is>
          <t>Mensal</t>
        </is>
      </c>
      <c r="H28" s="8" t="inlineStr">
        <is>
          <t>Sim</t>
        </is>
      </c>
      <c r="I28" s="12" t="n">
        <v>30</v>
      </c>
      <c r="J28" s="8" t="inlineStr">
        <is>
          <t>Sim</t>
        </is>
      </c>
      <c r="K28" s="12" t="n">
        <v>20</v>
      </c>
      <c r="L28" s="12" t="n">
        <v>5</v>
      </c>
      <c r="M28" s="12" t="n">
        <v>60</v>
      </c>
    </row>
    <row r="29" hidden="1" ht="16.5" customHeight="1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Sim</t>
        </is>
      </c>
      <c r="F29" s="12" t="n">
        <v>10</v>
      </c>
      <c r="G29" s="8" t="inlineStr">
        <is>
          <t>Anual</t>
        </is>
      </c>
      <c r="H29" s="8" t="inlineStr">
        <is>
          <t>Não</t>
        </is>
      </c>
      <c r="I29" s="12" t="inlineStr">
        <is>
          <t>-</t>
        </is>
      </c>
      <c r="J29" s="8" t="inlineStr">
        <is>
          <t>Sim</t>
        </is>
      </c>
      <c r="K29" s="12" t="n">
        <v>20</v>
      </c>
      <c r="L29" s="12" t="n">
        <v>15</v>
      </c>
      <c r="M29" s="12" t="n">
        <v>15</v>
      </c>
    </row>
    <row r="30" hidden="1" ht="16.5" customHeight="1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Não</t>
        </is>
      </c>
      <c r="F30" s="12" t="n">
        <v>5</v>
      </c>
      <c r="G30" s="8" t="inlineStr">
        <is>
          <t>Mensal</t>
        </is>
      </c>
      <c r="H30" s="8" t="inlineStr">
        <is>
          <t>Não</t>
        </is>
      </c>
      <c r="I30" s="12" t="inlineStr">
        <is>
          <t>-</t>
        </is>
      </c>
      <c r="J30" s="8" t="inlineStr">
        <is>
          <t>Não</t>
        </is>
      </c>
      <c r="K30" s="12" t="n">
        <v>0</v>
      </c>
      <c r="L30" s="12" t="n">
        <v>1</v>
      </c>
      <c r="M30" s="12" t="n">
        <v>4</v>
      </c>
    </row>
    <row r="31" ht="16.5" customHeight="1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Sim</t>
        </is>
      </c>
      <c r="F31" s="12" t="n">
        <v>15</v>
      </c>
      <c r="G31" s="8" t="inlineStr">
        <is>
          <t>Trimestral</t>
        </is>
      </c>
      <c r="H31" s="8" t="inlineStr">
        <is>
          <t>Sim</t>
        </is>
      </c>
      <c r="I31" s="12" t="n">
        <v>30</v>
      </c>
      <c r="J31" s="8" t="inlineStr">
        <is>
          <t>Sim</t>
        </is>
      </c>
      <c r="K31" s="12" t="n">
        <v>20</v>
      </c>
      <c r="L31" s="12" t="n">
        <v>7</v>
      </c>
      <c r="M31" s="12" t="n">
        <v>58</v>
      </c>
    </row>
    <row r="32" hidden="1" ht="16.5" customHeight="1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Não</t>
        </is>
      </c>
      <c r="F32" s="12" t="n">
        <v>10</v>
      </c>
      <c r="G32" s="8" t="inlineStr">
        <is>
          <t>Mensal</t>
        </is>
      </c>
      <c r="H32" s="8" t="inlineStr">
        <is>
          <t>Não</t>
        </is>
      </c>
      <c r="I32" s="12" t="inlineStr">
        <is>
          <t>-</t>
        </is>
      </c>
      <c r="J32" s="8" t="inlineStr">
        <is>
          <t>Sim</t>
        </is>
      </c>
      <c r="K32" s="12" t="n">
        <v>20</v>
      </c>
      <c r="L32" s="12" t="n">
        <v>10</v>
      </c>
      <c r="M32" s="12" t="n">
        <v>20</v>
      </c>
    </row>
    <row r="33" hidden="1" ht="16.5" customHeight="1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Sim</t>
        </is>
      </c>
      <c r="F33" s="12" t="n">
        <v>5</v>
      </c>
      <c r="G33" s="8" t="inlineStr">
        <is>
          <t>Anual</t>
        </is>
      </c>
      <c r="H33" s="8" t="inlineStr">
        <is>
          <t>Não</t>
        </is>
      </c>
      <c r="I33" s="12" t="inlineStr">
        <is>
          <t>-</t>
        </is>
      </c>
      <c r="J33" s="8" t="inlineStr">
        <is>
          <t>Não</t>
        </is>
      </c>
      <c r="K33" s="12" t="n">
        <v>0</v>
      </c>
      <c r="L33" s="12" t="n">
        <v>0</v>
      </c>
      <c r="M33" s="12" t="n">
        <v>5</v>
      </c>
    </row>
    <row r="34" ht="16.5" customHeight="1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Não</t>
        </is>
      </c>
      <c r="F34" s="12" t="n">
        <v>15</v>
      </c>
      <c r="G34" s="8" t="inlineStr">
        <is>
          <t>Mensal</t>
        </is>
      </c>
      <c r="H34" s="8" t="inlineStr">
        <is>
          <t>Sim</t>
        </is>
      </c>
      <c r="I34" s="12" t="n">
        <v>30</v>
      </c>
      <c r="J34" s="8" t="inlineStr">
        <is>
          <t>Sim</t>
        </is>
      </c>
      <c r="K34" s="12" t="n">
        <v>20</v>
      </c>
      <c r="L34" s="12" t="n">
        <v>3</v>
      </c>
      <c r="M34" s="12" t="n">
        <v>62</v>
      </c>
    </row>
    <row r="35" hidden="1" ht="16.5" customHeight="1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Sim</t>
        </is>
      </c>
      <c r="F35" s="12" t="n">
        <v>10</v>
      </c>
      <c r="G35" s="8" t="inlineStr">
        <is>
          <t>Trimestral</t>
        </is>
      </c>
      <c r="H35" s="8" t="inlineStr">
        <is>
          <t>Não</t>
        </is>
      </c>
      <c r="I35" s="12" t="inlineStr">
        <is>
          <t>-</t>
        </is>
      </c>
      <c r="J35" s="8" t="inlineStr">
        <is>
          <t>Sim</t>
        </is>
      </c>
      <c r="K35" s="12" t="n">
        <v>20</v>
      </c>
      <c r="L35" s="12" t="n">
        <v>15</v>
      </c>
      <c r="M35" s="12" t="n">
        <v>15</v>
      </c>
    </row>
    <row r="36" hidden="1" ht="16.5" customHeight="1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Não</t>
        </is>
      </c>
      <c r="F36" s="12" t="n">
        <v>5</v>
      </c>
      <c r="G36" s="8" t="inlineStr">
        <is>
          <t>Mensal</t>
        </is>
      </c>
      <c r="H36" s="8" t="inlineStr">
        <is>
          <t>Não</t>
        </is>
      </c>
      <c r="I36" s="12" t="inlineStr">
        <is>
          <t>-</t>
        </is>
      </c>
      <c r="J36" s="8" t="inlineStr">
        <is>
          <t>Não</t>
        </is>
      </c>
      <c r="K36" s="12" t="n">
        <v>0</v>
      </c>
      <c r="L36" s="12" t="n">
        <v>1</v>
      </c>
      <c r="M36" s="12" t="n">
        <v>4</v>
      </c>
    </row>
    <row r="37" hidden="1" ht="16.5" customHeight="1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Sim</t>
        </is>
      </c>
      <c r="F37" s="12" t="n">
        <v>5</v>
      </c>
      <c r="G37" s="8" t="inlineStr">
        <is>
          <t>Mensal</t>
        </is>
      </c>
      <c r="H37" s="8" t="inlineStr">
        <is>
          <t>Não</t>
        </is>
      </c>
      <c r="I37" s="12" t="inlineStr">
        <is>
          <t>-</t>
        </is>
      </c>
      <c r="J37" s="8" t="inlineStr">
        <is>
          <t>Não</t>
        </is>
      </c>
      <c r="K37" s="12" t="n">
        <v>0</v>
      </c>
      <c r="L37" s="12" t="n">
        <v>0</v>
      </c>
      <c r="M37" s="12" t="n">
        <v>5</v>
      </c>
    </row>
    <row r="38" ht="16.5" customHeight="1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Não</t>
        </is>
      </c>
      <c r="F38" s="12" t="n">
        <v>15</v>
      </c>
      <c r="G38" s="8" t="inlineStr">
        <is>
          <t>Trimestral</t>
        </is>
      </c>
      <c r="H38" s="8" t="inlineStr">
        <is>
          <t>Sim</t>
        </is>
      </c>
      <c r="I38" s="12" t="n">
        <v>30</v>
      </c>
      <c r="J38" s="8" t="inlineStr">
        <is>
          <t>Sim</t>
        </is>
      </c>
      <c r="K38" s="12" t="n">
        <v>20</v>
      </c>
      <c r="L38" s="12" t="n">
        <v>7</v>
      </c>
      <c r="M38" s="12" t="n">
        <v>58</v>
      </c>
    </row>
    <row r="39" hidden="1" ht="16.5" customHeight="1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Sim</t>
        </is>
      </c>
      <c r="F39" s="12" t="n">
        <v>10</v>
      </c>
      <c r="G39" s="8" t="inlineStr">
        <is>
          <t>Anual</t>
        </is>
      </c>
      <c r="H39" s="8" t="inlineStr">
        <is>
          <t>Não</t>
        </is>
      </c>
      <c r="I39" s="12" t="inlineStr">
        <is>
          <t>-</t>
        </is>
      </c>
      <c r="J39" s="8" t="inlineStr">
        <is>
          <t>Sim</t>
        </is>
      </c>
      <c r="K39" s="12" t="n">
        <v>20</v>
      </c>
      <c r="L39" s="12" t="n">
        <v>10</v>
      </c>
      <c r="M39" s="12" t="n">
        <v>20</v>
      </c>
    </row>
    <row r="40" hidden="1" ht="16.5" customHeight="1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Não</t>
        </is>
      </c>
      <c r="F40" s="12" t="n">
        <v>5</v>
      </c>
      <c r="G40" s="8" t="inlineStr">
        <is>
          <t>Trimestral</t>
        </is>
      </c>
      <c r="H40" s="8" t="inlineStr">
        <is>
          <t>Não</t>
        </is>
      </c>
      <c r="I40" s="12" t="inlineStr">
        <is>
          <t>-</t>
        </is>
      </c>
      <c r="J40" s="8" t="inlineStr">
        <is>
          <t>Não</t>
        </is>
      </c>
      <c r="K40" s="12" t="n">
        <v>0</v>
      </c>
      <c r="L40" s="12" t="n">
        <v>1</v>
      </c>
      <c r="M40" s="12" t="n">
        <v>4</v>
      </c>
    </row>
    <row r="41" ht="16.5" customHeight="1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Sim</t>
        </is>
      </c>
      <c r="F41" s="12" t="n">
        <v>15</v>
      </c>
      <c r="G41" s="8" t="inlineStr">
        <is>
          <t>Mensal</t>
        </is>
      </c>
      <c r="H41" s="8" t="inlineStr">
        <is>
          <t>Sim</t>
        </is>
      </c>
      <c r="I41" s="12" t="n">
        <v>30</v>
      </c>
      <c r="J41" s="8" t="inlineStr">
        <is>
          <t>Sim</t>
        </is>
      </c>
      <c r="K41" s="12" t="n">
        <v>20</v>
      </c>
      <c r="L41" s="12" t="n">
        <v>15</v>
      </c>
      <c r="M41" s="12" t="n">
        <v>50</v>
      </c>
    </row>
    <row r="42" hidden="1" ht="16.5" customHeight="1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Não</t>
        </is>
      </c>
      <c r="F42" s="12" t="n">
        <v>10</v>
      </c>
      <c r="G42" s="8" t="inlineStr">
        <is>
          <t>Mensal</t>
        </is>
      </c>
      <c r="H42" s="8" t="inlineStr">
        <is>
          <t>Não</t>
        </is>
      </c>
      <c r="I42" s="12" t="inlineStr">
        <is>
          <t>-</t>
        </is>
      </c>
      <c r="J42" s="8" t="inlineStr">
        <is>
          <t>Sim</t>
        </is>
      </c>
      <c r="K42" s="12" t="n">
        <v>20</v>
      </c>
      <c r="L42" s="12" t="n">
        <v>5</v>
      </c>
      <c r="M42" s="12" t="n">
        <v>25</v>
      </c>
    </row>
    <row r="43" hidden="1" ht="16.5" customHeight="1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Sim</t>
        </is>
      </c>
      <c r="F43" s="12" t="n">
        <v>5</v>
      </c>
      <c r="G43" s="8" t="inlineStr">
        <is>
          <t>Anual</t>
        </is>
      </c>
      <c r="H43" s="8" t="inlineStr">
        <is>
          <t>Não</t>
        </is>
      </c>
      <c r="I43" s="12" t="inlineStr">
        <is>
          <t>-</t>
        </is>
      </c>
      <c r="J43" s="8" t="inlineStr">
        <is>
          <t>Não</t>
        </is>
      </c>
      <c r="K43" s="12" t="n">
        <v>0</v>
      </c>
      <c r="L43" s="12" t="n">
        <v>0</v>
      </c>
      <c r="M43" s="12" t="n">
        <v>5</v>
      </c>
    </row>
    <row r="44" ht="16.5" customHeight="1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Não</t>
        </is>
      </c>
      <c r="F44" s="12" t="n">
        <v>15</v>
      </c>
      <c r="G44" s="8" t="inlineStr">
        <is>
          <t>Trimestral</t>
        </is>
      </c>
      <c r="H44" s="8" t="inlineStr">
        <is>
          <t>Sim</t>
        </is>
      </c>
      <c r="I44" s="12" t="n">
        <v>30</v>
      </c>
      <c r="J44" s="8" t="inlineStr">
        <is>
          <t>Sim</t>
        </is>
      </c>
      <c r="K44" s="12" t="n">
        <v>20</v>
      </c>
      <c r="L44" s="12" t="n">
        <v>20</v>
      </c>
      <c r="M44" s="12" t="n">
        <v>45</v>
      </c>
    </row>
    <row r="45" hidden="1" ht="16.5" customHeight="1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Sim</t>
        </is>
      </c>
      <c r="F45" s="12" t="n">
        <v>10</v>
      </c>
      <c r="G45" s="8" t="inlineStr">
        <is>
          <t>Trimestral</t>
        </is>
      </c>
      <c r="H45" s="8" t="inlineStr">
        <is>
          <t>Não</t>
        </is>
      </c>
      <c r="I45" s="12" t="inlineStr">
        <is>
          <t>-</t>
        </is>
      </c>
      <c r="J45" s="8" t="inlineStr">
        <is>
          <t>Sim</t>
        </is>
      </c>
      <c r="K45" s="12" t="n">
        <v>20</v>
      </c>
      <c r="L45" s="12" t="n">
        <v>12</v>
      </c>
      <c r="M45" s="12" t="n">
        <v>18</v>
      </c>
    </row>
    <row r="46" hidden="1" ht="16.5" customHeight="1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Não</t>
        </is>
      </c>
      <c r="F46" s="12" t="n">
        <v>5</v>
      </c>
      <c r="G46" s="8" t="inlineStr">
        <is>
          <t>Mensal</t>
        </is>
      </c>
      <c r="H46" s="8" t="inlineStr">
        <is>
          <t>Não</t>
        </is>
      </c>
      <c r="I46" s="12" t="inlineStr">
        <is>
          <t>-</t>
        </is>
      </c>
      <c r="J46" s="8" t="inlineStr">
        <is>
          <t>Não</t>
        </is>
      </c>
      <c r="K46" s="12" t="n">
        <v>0</v>
      </c>
      <c r="L46" s="12" t="n">
        <v>2</v>
      </c>
      <c r="M46" s="12" t="n">
        <v>3</v>
      </c>
    </row>
    <row r="47" ht="16.5" customHeight="1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Sim</t>
        </is>
      </c>
      <c r="F47" s="12" t="n">
        <v>15</v>
      </c>
      <c r="G47" s="8" t="inlineStr">
        <is>
          <t>Anual</t>
        </is>
      </c>
      <c r="H47" s="8" t="inlineStr">
        <is>
          <t>Sim</t>
        </is>
      </c>
      <c r="I47" s="12" t="n">
        <v>30</v>
      </c>
      <c r="J47" s="8" t="inlineStr">
        <is>
          <t>Sim</t>
        </is>
      </c>
      <c r="K47" s="12" t="n">
        <v>20</v>
      </c>
      <c r="L47" s="12" t="n">
        <v>5</v>
      </c>
      <c r="M47" s="12" t="n">
        <v>60</v>
      </c>
    </row>
    <row r="48" hidden="1" ht="16.5" customHeight="1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Não</t>
        </is>
      </c>
      <c r="F48" s="12" t="n">
        <v>10</v>
      </c>
      <c r="G48" s="8" t="inlineStr">
        <is>
          <t>Mensal</t>
        </is>
      </c>
      <c r="H48" s="8" t="inlineStr">
        <is>
          <t>Não</t>
        </is>
      </c>
      <c r="I48" s="12" t="inlineStr">
        <is>
          <t>-</t>
        </is>
      </c>
      <c r="J48" s="8" t="inlineStr">
        <is>
          <t>Sim</t>
        </is>
      </c>
      <c r="K48" s="12" t="n">
        <v>20</v>
      </c>
      <c r="L48" s="12" t="n">
        <v>10</v>
      </c>
      <c r="M48" s="12" t="n">
        <v>20</v>
      </c>
    </row>
    <row r="49" hidden="1" ht="16.5" customHeight="1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Sim</t>
        </is>
      </c>
      <c r="F49" s="12" t="n">
        <v>5</v>
      </c>
      <c r="G49" s="8" t="inlineStr">
        <is>
          <t>Trimestral</t>
        </is>
      </c>
      <c r="H49" s="8" t="inlineStr">
        <is>
          <t>Não</t>
        </is>
      </c>
      <c r="I49" s="12" t="inlineStr">
        <is>
          <t>-</t>
        </is>
      </c>
      <c r="J49" s="8" t="inlineStr">
        <is>
          <t>Não</t>
        </is>
      </c>
      <c r="K49" s="12" t="n">
        <v>0</v>
      </c>
      <c r="L49" s="12" t="n">
        <v>0</v>
      </c>
      <c r="M49" s="12" t="n">
        <v>5</v>
      </c>
    </row>
    <row r="50" ht="16.5" customHeight="1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Não</t>
        </is>
      </c>
      <c r="F50" s="12" t="n">
        <v>15</v>
      </c>
      <c r="G50" s="8" t="inlineStr">
        <is>
          <t>Mensal</t>
        </is>
      </c>
      <c r="H50" s="8" t="inlineStr">
        <is>
          <t>Sim</t>
        </is>
      </c>
      <c r="I50" s="12" t="n">
        <v>30</v>
      </c>
      <c r="J50" s="8" t="inlineStr">
        <is>
          <t>Sim</t>
        </is>
      </c>
      <c r="K50" s="12" t="n">
        <v>20</v>
      </c>
      <c r="L50" s="12" t="n">
        <v>3</v>
      </c>
      <c r="M50" s="12" t="n">
        <v>62</v>
      </c>
    </row>
    <row r="51" hidden="1" ht="16.5" customHeight="1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Sim</t>
        </is>
      </c>
      <c r="F51" s="12" t="n">
        <v>10</v>
      </c>
      <c r="G51" s="8" t="inlineStr">
        <is>
          <t>Anual</t>
        </is>
      </c>
      <c r="H51" s="8" t="inlineStr">
        <is>
          <t>Não</t>
        </is>
      </c>
      <c r="I51" s="12" t="inlineStr">
        <is>
          <t>-</t>
        </is>
      </c>
      <c r="J51" s="8" t="inlineStr">
        <is>
          <t>Sim</t>
        </is>
      </c>
      <c r="K51" s="12" t="n">
        <v>20</v>
      </c>
      <c r="L51" s="12" t="n">
        <v>15</v>
      </c>
      <c r="M51" s="12" t="n">
        <v>15</v>
      </c>
    </row>
    <row r="52" hidden="1" ht="16.5" customHeight="1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Não</t>
        </is>
      </c>
      <c r="F52" s="12" t="n">
        <v>5</v>
      </c>
      <c r="G52" s="8" t="inlineStr">
        <is>
          <t>Mensal</t>
        </is>
      </c>
      <c r="H52" s="8" t="inlineStr">
        <is>
          <t>Não</t>
        </is>
      </c>
      <c r="I52" s="12" t="inlineStr">
        <is>
          <t>-</t>
        </is>
      </c>
      <c r="J52" s="8" t="inlineStr">
        <is>
          <t>Não</t>
        </is>
      </c>
      <c r="K52" s="12" t="n">
        <v>0</v>
      </c>
      <c r="L52" s="12" t="n">
        <v>1</v>
      </c>
      <c r="M52" s="12" t="n">
        <v>4</v>
      </c>
    </row>
    <row r="53" ht="16.5" customHeight="1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Sim</t>
        </is>
      </c>
      <c r="F53" s="12" t="n">
        <v>15</v>
      </c>
      <c r="G53" s="8" t="inlineStr">
        <is>
          <t>Trimestral</t>
        </is>
      </c>
      <c r="H53" s="8" t="inlineStr">
        <is>
          <t>Sim</t>
        </is>
      </c>
      <c r="I53" s="12" t="n">
        <v>30</v>
      </c>
      <c r="J53" s="8" t="inlineStr">
        <is>
          <t>Sim</t>
        </is>
      </c>
      <c r="K53" s="12" t="n">
        <v>20</v>
      </c>
      <c r="L53" s="12" t="n">
        <v>7</v>
      </c>
      <c r="M53" s="12" t="n">
        <v>58</v>
      </c>
    </row>
    <row r="54" hidden="1" ht="16.5" customHeight="1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Não</t>
        </is>
      </c>
      <c r="F54" s="12" t="n">
        <v>10</v>
      </c>
      <c r="G54" s="8" t="inlineStr">
        <is>
          <t>Mensal</t>
        </is>
      </c>
      <c r="H54" s="8" t="inlineStr">
        <is>
          <t>Não</t>
        </is>
      </c>
      <c r="I54" s="12" t="inlineStr">
        <is>
          <t>-</t>
        </is>
      </c>
      <c r="J54" s="8" t="inlineStr">
        <is>
          <t>Sim</t>
        </is>
      </c>
      <c r="K54" s="12" t="n">
        <v>20</v>
      </c>
      <c r="L54" s="12" t="n">
        <v>10</v>
      </c>
      <c r="M54" s="12" t="n">
        <v>20</v>
      </c>
    </row>
    <row r="55" hidden="1" ht="16.5" customHeight="1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Sim</t>
        </is>
      </c>
      <c r="F55" s="12" t="n">
        <v>5</v>
      </c>
      <c r="G55" s="8" t="inlineStr">
        <is>
          <t>Anual</t>
        </is>
      </c>
      <c r="H55" s="8" t="inlineStr">
        <is>
          <t>Não</t>
        </is>
      </c>
      <c r="I55" s="12" t="inlineStr">
        <is>
          <t>-</t>
        </is>
      </c>
      <c r="J55" s="8" t="inlineStr">
        <is>
          <t>Não</t>
        </is>
      </c>
      <c r="K55" s="12" t="n">
        <v>0</v>
      </c>
      <c r="L55" s="12" t="n">
        <v>0</v>
      </c>
      <c r="M55" s="12" t="n">
        <v>5</v>
      </c>
    </row>
    <row r="56" ht="16.5" customHeight="1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Não</t>
        </is>
      </c>
      <c r="F56" s="12" t="n">
        <v>15</v>
      </c>
      <c r="G56" s="8" t="inlineStr">
        <is>
          <t>Mensal</t>
        </is>
      </c>
      <c r="H56" s="8" t="inlineStr">
        <is>
          <t>Sim</t>
        </is>
      </c>
      <c r="I56" s="12" t="n">
        <v>30</v>
      </c>
      <c r="J56" s="8" t="inlineStr">
        <is>
          <t>Sim</t>
        </is>
      </c>
      <c r="K56" s="12" t="n">
        <v>20</v>
      </c>
      <c r="L56" s="12" t="n">
        <v>20</v>
      </c>
      <c r="M56" s="12" t="n">
        <v>45</v>
      </c>
    </row>
    <row r="57" hidden="1" ht="16.5" customHeight="1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Sim</t>
        </is>
      </c>
      <c r="F57" s="12" t="n">
        <v>10</v>
      </c>
      <c r="G57" s="8" t="inlineStr">
        <is>
          <t>Trimestral</t>
        </is>
      </c>
      <c r="H57" s="8" t="inlineStr">
        <is>
          <t>Não</t>
        </is>
      </c>
      <c r="I57" s="12" t="inlineStr">
        <is>
          <t>-</t>
        </is>
      </c>
      <c r="J57" s="8" t="inlineStr">
        <is>
          <t>Sim</t>
        </is>
      </c>
      <c r="K57" s="12" t="n">
        <v>20</v>
      </c>
      <c r="L57" s="12" t="n">
        <v>15</v>
      </c>
      <c r="M57" s="12" t="n">
        <v>15</v>
      </c>
    </row>
    <row r="58" hidden="1" ht="16.5" customHeight="1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Não</t>
        </is>
      </c>
      <c r="F58" s="12" t="n">
        <v>5</v>
      </c>
      <c r="G58" s="8" t="inlineStr">
        <is>
          <t>Mensal</t>
        </is>
      </c>
      <c r="H58" s="8" t="inlineStr">
        <is>
          <t>Não</t>
        </is>
      </c>
      <c r="I58" s="12" t="inlineStr">
        <is>
          <t>-</t>
        </is>
      </c>
      <c r="J58" s="8" t="inlineStr">
        <is>
          <t>Não</t>
        </is>
      </c>
      <c r="K58" s="12" t="n">
        <v>0</v>
      </c>
      <c r="L58" s="12" t="n">
        <v>1</v>
      </c>
      <c r="M58" s="12" t="n">
        <v>4</v>
      </c>
    </row>
    <row r="59" ht="16.5" customHeight="1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Sim</t>
        </is>
      </c>
      <c r="F59" s="12" t="n">
        <v>15</v>
      </c>
      <c r="G59" s="8" t="inlineStr">
        <is>
          <t>Anual</t>
        </is>
      </c>
      <c r="H59" s="8" t="inlineStr">
        <is>
          <t>Sim</t>
        </is>
      </c>
      <c r="I59" s="12" t="n">
        <v>30</v>
      </c>
      <c r="J59" s="8" t="inlineStr">
        <is>
          <t>Sim</t>
        </is>
      </c>
      <c r="K59" s="12" t="n">
        <v>20</v>
      </c>
      <c r="L59" s="12" t="n">
        <v>3</v>
      </c>
      <c r="M59" s="12" t="n">
        <v>62</v>
      </c>
    </row>
    <row r="60" hidden="1" ht="16.5" customHeight="1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Não</t>
        </is>
      </c>
      <c r="F60" s="12" t="n">
        <v>10</v>
      </c>
      <c r="G60" s="8" t="inlineStr">
        <is>
          <t>Mensal</t>
        </is>
      </c>
      <c r="H60" s="8" t="inlineStr">
        <is>
          <t>Não</t>
        </is>
      </c>
      <c r="I60" s="12" t="inlineStr">
        <is>
          <t>-</t>
        </is>
      </c>
      <c r="J60" s="8" t="inlineStr">
        <is>
          <t>Sim</t>
        </is>
      </c>
      <c r="K60" s="12" t="n">
        <v>20</v>
      </c>
      <c r="L60" s="12" t="n">
        <v>10</v>
      </c>
      <c r="M60" s="12" t="n">
        <v>20</v>
      </c>
    </row>
    <row r="61" hidden="1" ht="16.5" customHeight="1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Sim</t>
        </is>
      </c>
      <c r="F61" s="12" t="n">
        <v>5</v>
      </c>
      <c r="G61" s="8" t="inlineStr">
        <is>
          <t>Trimestral</t>
        </is>
      </c>
      <c r="H61" s="8" t="inlineStr">
        <is>
          <t>Não</t>
        </is>
      </c>
      <c r="I61" s="12" t="inlineStr">
        <is>
          <t>-</t>
        </is>
      </c>
      <c r="J61" s="8" t="inlineStr">
        <is>
          <t>Não</t>
        </is>
      </c>
      <c r="K61" s="12" t="n">
        <v>0</v>
      </c>
      <c r="L61" s="12" t="n">
        <v>0</v>
      </c>
      <c r="M61" s="12" t="n">
        <v>5</v>
      </c>
    </row>
    <row r="62" ht="16.5" customHeight="1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Não</t>
        </is>
      </c>
      <c r="F62" s="12" t="n">
        <v>15</v>
      </c>
      <c r="G62" s="8" t="inlineStr">
        <is>
          <t>Mensal</t>
        </is>
      </c>
      <c r="H62" s="8" t="inlineStr">
        <is>
          <t>Sim</t>
        </is>
      </c>
      <c r="I62" s="12" t="n">
        <v>30</v>
      </c>
      <c r="J62" s="8" t="inlineStr">
        <is>
          <t>Sim</t>
        </is>
      </c>
      <c r="K62" s="12" t="n">
        <v>20</v>
      </c>
      <c r="L62" s="12" t="n">
        <v>5</v>
      </c>
      <c r="M62" s="12" t="n">
        <v>60</v>
      </c>
    </row>
    <row r="63" hidden="1" ht="16.5" customHeight="1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Sim</t>
        </is>
      </c>
      <c r="F63" s="12" t="n">
        <v>10</v>
      </c>
      <c r="G63" s="8" t="inlineStr">
        <is>
          <t>Anual</t>
        </is>
      </c>
      <c r="H63" s="8" t="inlineStr">
        <is>
          <t>Não</t>
        </is>
      </c>
      <c r="I63" s="12" t="inlineStr">
        <is>
          <t>-</t>
        </is>
      </c>
      <c r="J63" s="8" t="inlineStr">
        <is>
          <t>Sim</t>
        </is>
      </c>
      <c r="K63" s="12" t="n">
        <v>20</v>
      </c>
      <c r="L63" s="12" t="n">
        <v>15</v>
      </c>
      <c r="M63" s="12" t="n">
        <v>15</v>
      </c>
    </row>
    <row r="64" hidden="1" ht="16.5" customHeight="1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Não</t>
        </is>
      </c>
      <c r="F64" s="12" t="n">
        <v>5</v>
      </c>
      <c r="G64" s="8" t="inlineStr">
        <is>
          <t>Mensal</t>
        </is>
      </c>
      <c r="H64" s="8" t="inlineStr">
        <is>
          <t>Não</t>
        </is>
      </c>
      <c r="I64" s="12" t="inlineStr">
        <is>
          <t>-</t>
        </is>
      </c>
      <c r="J64" s="8" t="inlineStr">
        <is>
          <t>Não</t>
        </is>
      </c>
      <c r="K64" s="12" t="n">
        <v>0</v>
      </c>
      <c r="L64" s="12" t="n">
        <v>1</v>
      </c>
      <c r="M64" s="12" t="n">
        <v>4</v>
      </c>
    </row>
    <row r="65" ht="16.5" customHeight="1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Sim</t>
        </is>
      </c>
      <c r="F65" s="12" t="n">
        <v>15</v>
      </c>
      <c r="G65" s="8" t="inlineStr">
        <is>
          <t>Trimestral</t>
        </is>
      </c>
      <c r="H65" s="8" t="inlineStr">
        <is>
          <t>Sim</t>
        </is>
      </c>
      <c r="I65" s="12" t="n">
        <v>30</v>
      </c>
      <c r="J65" s="8" t="inlineStr">
        <is>
          <t>Sim</t>
        </is>
      </c>
      <c r="K65" s="12" t="n">
        <v>20</v>
      </c>
      <c r="L65" s="12" t="n">
        <v>20</v>
      </c>
      <c r="M65" s="12" t="n">
        <v>45</v>
      </c>
    </row>
    <row r="66" hidden="1" ht="16.5" customHeight="1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Não</t>
        </is>
      </c>
      <c r="F66" s="12" t="n">
        <v>10</v>
      </c>
      <c r="G66" s="8" t="inlineStr">
        <is>
          <t>Mensal</t>
        </is>
      </c>
      <c r="H66" s="8" t="inlineStr">
        <is>
          <t>Não</t>
        </is>
      </c>
      <c r="I66" s="12" t="inlineStr">
        <is>
          <t>-</t>
        </is>
      </c>
      <c r="J66" s="8" t="inlineStr">
        <is>
          <t>Sim</t>
        </is>
      </c>
      <c r="K66" s="12" t="n">
        <v>20</v>
      </c>
      <c r="L66" s="12" t="n">
        <v>5</v>
      </c>
      <c r="M66" s="12" t="n">
        <v>25</v>
      </c>
    </row>
    <row r="67" hidden="1" ht="16.5" customHeight="1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Não</t>
        </is>
      </c>
      <c r="F67" s="12" t="n">
        <v>5</v>
      </c>
      <c r="G67" s="8" t="inlineStr">
        <is>
          <t>Mensal</t>
        </is>
      </c>
      <c r="H67" s="8" t="inlineStr">
        <is>
          <t>Não</t>
        </is>
      </c>
      <c r="I67" s="12" t="inlineStr">
        <is>
          <t>-</t>
        </is>
      </c>
      <c r="J67" s="8" t="inlineStr">
        <is>
          <t>Não</t>
        </is>
      </c>
      <c r="K67" s="12" t="n">
        <v>0</v>
      </c>
      <c r="L67" s="12" t="n">
        <v>0</v>
      </c>
      <c r="M67" s="12" t="n">
        <v>5</v>
      </c>
    </row>
    <row r="68" ht="16.5" customHeight="1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Sim</t>
        </is>
      </c>
      <c r="F68" s="12" t="n">
        <v>15</v>
      </c>
      <c r="G68" s="8" t="inlineStr">
        <is>
          <t>Trimestral</t>
        </is>
      </c>
      <c r="H68" s="8" t="inlineStr">
        <is>
          <t>Sim</t>
        </is>
      </c>
      <c r="I68" s="12" t="n">
        <v>30</v>
      </c>
      <c r="J68" s="8" t="inlineStr">
        <is>
          <t>Sim</t>
        </is>
      </c>
      <c r="K68" s="12" t="n">
        <v>20</v>
      </c>
      <c r="L68" s="12" t="n">
        <v>7</v>
      </c>
      <c r="M68" s="12" t="n">
        <v>58</v>
      </c>
    </row>
    <row r="69" hidden="1" ht="16.5" customHeight="1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Não</t>
        </is>
      </c>
      <c r="F69" s="12" t="n">
        <v>10</v>
      </c>
      <c r="G69" s="8" t="inlineStr">
        <is>
          <t>Anual</t>
        </is>
      </c>
      <c r="H69" s="8" t="inlineStr">
        <is>
          <t>Não</t>
        </is>
      </c>
      <c r="I69" s="12" t="inlineStr">
        <is>
          <t>-</t>
        </is>
      </c>
      <c r="J69" s="8" t="inlineStr">
        <is>
          <t>Sim</t>
        </is>
      </c>
      <c r="K69" s="12" t="n">
        <v>20</v>
      </c>
      <c r="L69" s="12" t="n">
        <v>10</v>
      </c>
      <c r="M69" s="12" t="n">
        <v>20</v>
      </c>
    </row>
    <row r="70" hidden="1" ht="16.5" customHeight="1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Sim</t>
        </is>
      </c>
      <c r="F70" s="12" t="n">
        <v>5</v>
      </c>
      <c r="G70" s="8" t="inlineStr">
        <is>
          <t>Trimestral</t>
        </is>
      </c>
      <c r="H70" s="8" t="inlineStr">
        <is>
          <t>Não</t>
        </is>
      </c>
      <c r="I70" s="12" t="inlineStr">
        <is>
          <t>-</t>
        </is>
      </c>
      <c r="J70" s="8" t="inlineStr">
        <is>
          <t>Não</t>
        </is>
      </c>
      <c r="K70" s="12" t="n">
        <v>0</v>
      </c>
      <c r="L70" s="12" t="n">
        <v>1</v>
      </c>
      <c r="M70" s="12" t="n">
        <v>4</v>
      </c>
    </row>
    <row r="71" ht="16.5" customHeight="1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Não</t>
        </is>
      </c>
      <c r="F71" s="12" t="n">
        <v>15</v>
      </c>
      <c r="G71" s="8" t="inlineStr">
        <is>
          <t>Mensal</t>
        </is>
      </c>
      <c r="H71" s="8" t="inlineStr">
        <is>
          <t>Sim</t>
        </is>
      </c>
      <c r="I71" s="12" t="n">
        <v>30</v>
      </c>
      <c r="J71" s="8" t="inlineStr">
        <is>
          <t>Sim</t>
        </is>
      </c>
      <c r="K71" s="12" t="n">
        <v>20</v>
      </c>
      <c r="L71" s="12" t="n">
        <v>15</v>
      </c>
      <c r="M71" s="12" t="n">
        <v>50</v>
      </c>
    </row>
    <row r="72" hidden="1" ht="16.5" customHeight="1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Sim</t>
        </is>
      </c>
      <c r="F72" s="12" t="n">
        <v>10</v>
      </c>
      <c r="G72" s="8" t="inlineStr">
        <is>
          <t>Mensal</t>
        </is>
      </c>
      <c r="H72" s="8" t="inlineStr">
        <is>
          <t>Não</t>
        </is>
      </c>
      <c r="I72" s="12" t="inlineStr">
        <is>
          <t>-</t>
        </is>
      </c>
      <c r="J72" s="8" t="inlineStr">
        <is>
          <t>Sim</t>
        </is>
      </c>
      <c r="K72" s="12" t="n">
        <v>20</v>
      </c>
      <c r="L72" s="12" t="n">
        <v>5</v>
      </c>
      <c r="M72" s="12" t="n">
        <v>25</v>
      </c>
    </row>
    <row r="73" hidden="1" ht="16.5" customHeight="1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Não</t>
        </is>
      </c>
      <c r="F73" s="12" t="n">
        <v>5</v>
      </c>
      <c r="G73" s="8" t="inlineStr">
        <is>
          <t>Anual</t>
        </is>
      </c>
      <c r="H73" s="8" t="inlineStr">
        <is>
          <t>Não</t>
        </is>
      </c>
      <c r="I73" s="12" t="inlineStr">
        <is>
          <t>-</t>
        </is>
      </c>
      <c r="J73" s="8" t="inlineStr">
        <is>
          <t>Não</t>
        </is>
      </c>
      <c r="K73" s="12" t="n">
        <v>0</v>
      </c>
      <c r="L73" s="12" t="n">
        <v>0</v>
      </c>
      <c r="M73" s="12" t="n">
        <v>5</v>
      </c>
    </row>
    <row r="74" ht="16.5" customHeight="1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Sim</t>
        </is>
      </c>
      <c r="F74" s="12" t="n">
        <v>15</v>
      </c>
      <c r="G74" s="8" t="inlineStr">
        <is>
          <t>Trimestral</t>
        </is>
      </c>
      <c r="H74" s="8" t="inlineStr">
        <is>
          <t>Sim</t>
        </is>
      </c>
      <c r="I74" s="12" t="n">
        <v>30</v>
      </c>
      <c r="J74" s="8" t="inlineStr">
        <is>
          <t>Sim</t>
        </is>
      </c>
      <c r="K74" s="12" t="n">
        <v>20</v>
      </c>
      <c r="L74" s="12" t="n">
        <v>20</v>
      </c>
      <c r="M74" s="12" t="n">
        <v>45</v>
      </c>
    </row>
    <row r="75" hidden="1" ht="16.5" customHeight="1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Não</t>
        </is>
      </c>
      <c r="F75" s="12" t="n">
        <v>10</v>
      </c>
      <c r="G75" s="8" t="inlineStr">
        <is>
          <t>Trimestral</t>
        </is>
      </c>
      <c r="H75" s="8" t="inlineStr">
        <is>
          <t>Não</t>
        </is>
      </c>
      <c r="I75" s="12" t="inlineStr">
        <is>
          <t>-</t>
        </is>
      </c>
      <c r="J75" s="8" t="inlineStr">
        <is>
          <t>Sim</t>
        </is>
      </c>
      <c r="K75" s="12" t="n">
        <v>20</v>
      </c>
      <c r="L75" s="12" t="n">
        <v>12</v>
      </c>
      <c r="M75" s="12" t="n">
        <v>18</v>
      </c>
    </row>
    <row r="76" hidden="1" ht="16.5" customHeight="1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Sim</t>
        </is>
      </c>
      <c r="F76" s="12" t="n">
        <v>5</v>
      </c>
      <c r="G76" s="8" t="inlineStr">
        <is>
          <t>Mensal</t>
        </is>
      </c>
      <c r="H76" s="8" t="inlineStr">
        <is>
          <t>Não</t>
        </is>
      </c>
      <c r="I76" s="12" t="inlineStr">
        <is>
          <t>-</t>
        </is>
      </c>
      <c r="J76" s="8" t="inlineStr">
        <is>
          <t>Não</t>
        </is>
      </c>
      <c r="K76" s="12" t="n">
        <v>0</v>
      </c>
      <c r="L76" s="12" t="n">
        <v>2</v>
      </c>
      <c r="M76" s="12" t="n">
        <v>3</v>
      </c>
    </row>
    <row r="77" ht="16.5" customHeight="1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Não</t>
        </is>
      </c>
      <c r="F77" s="12" t="n">
        <v>15</v>
      </c>
      <c r="G77" s="8" t="inlineStr">
        <is>
          <t>Anual</t>
        </is>
      </c>
      <c r="H77" s="8" t="inlineStr">
        <is>
          <t>Sim</t>
        </is>
      </c>
      <c r="I77" s="12" t="n">
        <v>30</v>
      </c>
      <c r="J77" s="8" t="inlineStr">
        <is>
          <t>Sim</t>
        </is>
      </c>
      <c r="K77" s="12" t="n">
        <v>20</v>
      </c>
      <c r="L77" s="12" t="n">
        <v>5</v>
      </c>
      <c r="M77" s="12" t="n">
        <v>60</v>
      </c>
    </row>
    <row r="78" hidden="1" ht="16.5" customHeight="1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Sim</t>
        </is>
      </c>
      <c r="F78" s="12" t="n">
        <v>10</v>
      </c>
      <c r="G78" s="8" t="inlineStr">
        <is>
          <t>Mensal</t>
        </is>
      </c>
      <c r="H78" s="8" t="inlineStr">
        <is>
          <t>Não</t>
        </is>
      </c>
      <c r="I78" s="12" t="inlineStr">
        <is>
          <t>-</t>
        </is>
      </c>
      <c r="J78" s="8" t="inlineStr">
        <is>
          <t>Sim</t>
        </is>
      </c>
      <c r="K78" s="12" t="n">
        <v>20</v>
      </c>
      <c r="L78" s="12" t="n">
        <v>10</v>
      </c>
      <c r="M78" s="12" t="n">
        <v>20</v>
      </c>
    </row>
    <row r="79" hidden="1" ht="16.5" customHeight="1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Não</t>
        </is>
      </c>
      <c r="F79" s="12" t="n">
        <v>5</v>
      </c>
      <c r="G79" s="8" t="inlineStr">
        <is>
          <t>Trimestral</t>
        </is>
      </c>
      <c r="H79" s="8" t="inlineStr">
        <is>
          <t>Não</t>
        </is>
      </c>
      <c r="I79" s="12" t="inlineStr">
        <is>
          <t>-</t>
        </is>
      </c>
      <c r="J79" s="8" t="inlineStr">
        <is>
          <t>Não</t>
        </is>
      </c>
      <c r="K79" s="12" t="n">
        <v>0</v>
      </c>
      <c r="L79" s="12" t="n">
        <v>0</v>
      </c>
      <c r="M79" s="12" t="n">
        <v>5</v>
      </c>
    </row>
    <row r="80" ht="16.5" customHeight="1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Sim</t>
        </is>
      </c>
      <c r="F80" s="12" t="n">
        <v>15</v>
      </c>
      <c r="G80" s="8" t="inlineStr">
        <is>
          <t>Mensal</t>
        </is>
      </c>
      <c r="H80" s="8" t="inlineStr">
        <is>
          <t>Sim</t>
        </is>
      </c>
      <c r="I80" s="12" t="n">
        <v>30</v>
      </c>
      <c r="J80" s="8" t="inlineStr">
        <is>
          <t>Sim</t>
        </is>
      </c>
      <c r="K80" s="12" t="n">
        <v>20</v>
      </c>
      <c r="L80" s="12" t="n">
        <v>3</v>
      </c>
      <c r="M80" s="12" t="n">
        <v>62</v>
      </c>
    </row>
    <row r="81" hidden="1" ht="16.5" customHeight="1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Não</t>
        </is>
      </c>
      <c r="F81" s="12" t="n">
        <v>10</v>
      </c>
      <c r="G81" s="8" t="inlineStr">
        <is>
          <t>Anual</t>
        </is>
      </c>
      <c r="H81" s="8" t="inlineStr">
        <is>
          <t>Não</t>
        </is>
      </c>
      <c r="I81" s="12" t="inlineStr">
        <is>
          <t>-</t>
        </is>
      </c>
      <c r="J81" s="8" t="inlineStr">
        <is>
          <t>Sim</t>
        </is>
      </c>
      <c r="K81" s="12" t="n">
        <v>20</v>
      </c>
      <c r="L81" s="12" t="n">
        <v>15</v>
      </c>
      <c r="M81" s="12" t="n">
        <v>15</v>
      </c>
    </row>
    <row r="82" hidden="1" ht="16.5" customHeight="1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Sim</t>
        </is>
      </c>
      <c r="F82" s="12" t="n">
        <v>5</v>
      </c>
      <c r="G82" s="8" t="inlineStr">
        <is>
          <t>Mensal</t>
        </is>
      </c>
      <c r="H82" s="8" t="inlineStr">
        <is>
          <t>Não</t>
        </is>
      </c>
      <c r="I82" s="12" t="inlineStr">
        <is>
          <t>-</t>
        </is>
      </c>
      <c r="J82" s="8" t="inlineStr">
        <is>
          <t>Não</t>
        </is>
      </c>
      <c r="K82" s="12" t="n">
        <v>0</v>
      </c>
      <c r="L82" s="12" t="n">
        <v>1</v>
      </c>
      <c r="M82" s="12" t="n">
        <v>4</v>
      </c>
    </row>
    <row r="83" ht="16.5" customHeight="1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Não</t>
        </is>
      </c>
      <c r="F83" s="12" t="n">
        <v>15</v>
      </c>
      <c r="G83" s="8" t="inlineStr">
        <is>
          <t>Trimestral</t>
        </is>
      </c>
      <c r="H83" s="8" t="inlineStr">
        <is>
          <t>Sim</t>
        </is>
      </c>
      <c r="I83" s="12" t="n">
        <v>30</v>
      </c>
      <c r="J83" s="8" t="inlineStr">
        <is>
          <t>Sim</t>
        </is>
      </c>
      <c r="K83" s="12" t="n">
        <v>20</v>
      </c>
      <c r="L83" s="12" t="n">
        <v>7</v>
      </c>
      <c r="M83" s="12" t="n">
        <v>58</v>
      </c>
    </row>
    <row r="84" hidden="1" ht="16.5" customHeight="1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Sim</t>
        </is>
      </c>
      <c r="F84" s="12" t="n">
        <v>10</v>
      </c>
      <c r="G84" s="8" t="inlineStr">
        <is>
          <t>Mensal</t>
        </is>
      </c>
      <c r="H84" s="8" t="inlineStr">
        <is>
          <t>Não</t>
        </is>
      </c>
      <c r="I84" s="12" t="inlineStr">
        <is>
          <t>-</t>
        </is>
      </c>
      <c r="J84" s="8" t="inlineStr">
        <is>
          <t>Sim</t>
        </is>
      </c>
      <c r="K84" s="12" t="n">
        <v>20</v>
      </c>
      <c r="L84" s="12" t="n">
        <v>10</v>
      </c>
      <c r="M84" s="12" t="n">
        <v>20</v>
      </c>
    </row>
    <row r="85" hidden="1" ht="16.5" customHeight="1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Não</t>
        </is>
      </c>
      <c r="F85" s="12" t="n">
        <v>5</v>
      </c>
      <c r="G85" s="8" t="inlineStr">
        <is>
          <t>Anual</t>
        </is>
      </c>
      <c r="H85" s="8" t="inlineStr">
        <is>
          <t>Não</t>
        </is>
      </c>
      <c r="I85" s="12" t="inlineStr">
        <is>
          <t>-</t>
        </is>
      </c>
      <c r="J85" s="8" t="inlineStr">
        <is>
          <t>Não</t>
        </is>
      </c>
      <c r="K85" s="12" t="n">
        <v>0</v>
      </c>
      <c r="L85" s="12" t="n">
        <v>0</v>
      </c>
      <c r="M85" s="12" t="n">
        <v>5</v>
      </c>
    </row>
    <row r="86" ht="16.5" customHeight="1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Sim</t>
        </is>
      </c>
      <c r="F86" s="12" t="n">
        <v>15</v>
      </c>
      <c r="G86" s="8" t="inlineStr">
        <is>
          <t>Mensal</t>
        </is>
      </c>
      <c r="H86" s="8" t="inlineStr">
        <is>
          <t>Sim</t>
        </is>
      </c>
      <c r="I86" s="12" t="n">
        <v>30</v>
      </c>
      <c r="J86" s="8" t="inlineStr">
        <is>
          <t>Sim</t>
        </is>
      </c>
      <c r="K86" s="12" t="n">
        <v>20</v>
      </c>
      <c r="L86" s="12" t="n">
        <v>20</v>
      </c>
      <c r="M86" s="12" t="n">
        <v>45</v>
      </c>
    </row>
    <row r="87" hidden="1" ht="16.5" customHeight="1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Não</t>
        </is>
      </c>
      <c r="F87" s="12" t="n">
        <v>10</v>
      </c>
      <c r="G87" s="8" t="inlineStr">
        <is>
          <t>Trimestral</t>
        </is>
      </c>
      <c r="H87" s="8" t="inlineStr">
        <is>
          <t>Não</t>
        </is>
      </c>
      <c r="I87" s="12" t="inlineStr">
        <is>
          <t>-</t>
        </is>
      </c>
      <c r="J87" s="8" t="inlineStr">
        <is>
          <t>Sim</t>
        </is>
      </c>
      <c r="K87" s="12" t="n">
        <v>20</v>
      </c>
      <c r="L87" s="12" t="n">
        <v>15</v>
      </c>
      <c r="M87" s="12" t="n">
        <v>15</v>
      </c>
    </row>
    <row r="88" hidden="1" ht="16.5" customHeight="1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Sim</t>
        </is>
      </c>
      <c r="F88" s="12" t="n">
        <v>5</v>
      </c>
      <c r="G88" s="8" t="inlineStr">
        <is>
          <t>Mensal</t>
        </is>
      </c>
      <c r="H88" s="8" t="inlineStr">
        <is>
          <t>Não</t>
        </is>
      </c>
      <c r="I88" s="12" t="inlineStr">
        <is>
          <t>-</t>
        </is>
      </c>
      <c r="J88" s="8" t="inlineStr">
        <is>
          <t>Não</t>
        </is>
      </c>
      <c r="K88" s="12" t="n">
        <v>0</v>
      </c>
      <c r="L88" s="12" t="n">
        <v>1</v>
      </c>
      <c r="M88" s="12" t="n">
        <v>4</v>
      </c>
    </row>
    <row r="89" ht="16.5" customHeight="1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Não</t>
        </is>
      </c>
      <c r="F89" s="12" t="n">
        <v>15</v>
      </c>
      <c r="G89" s="8" t="inlineStr">
        <is>
          <t>Anual</t>
        </is>
      </c>
      <c r="H89" s="8" t="inlineStr">
        <is>
          <t>Sim</t>
        </is>
      </c>
      <c r="I89" s="12" t="n">
        <v>30</v>
      </c>
      <c r="J89" s="8" t="inlineStr">
        <is>
          <t>Sim</t>
        </is>
      </c>
      <c r="K89" s="12" t="n">
        <v>20</v>
      </c>
      <c r="L89" s="12" t="n">
        <v>3</v>
      </c>
      <c r="M89" s="12" t="n">
        <v>62</v>
      </c>
    </row>
    <row r="90" hidden="1" ht="16.5" customHeight="1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Sim</t>
        </is>
      </c>
      <c r="F90" s="12" t="n">
        <v>10</v>
      </c>
      <c r="G90" s="8" t="inlineStr">
        <is>
          <t>Mensal</t>
        </is>
      </c>
      <c r="H90" s="8" t="inlineStr">
        <is>
          <t>Não</t>
        </is>
      </c>
      <c r="I90" s="12" t="inlineStr">
        <is>
          <t>-</t>
        </is>
      </c>
      <c r="J90" s="8" t="inlineStr">
        <is>
          <t>Sim</t>
        </is>
      </c>
      <c r="K90" s="12" t="n">
        <v>20</v>
      </c>
      <c r="L90" s="12" t="n">
        <v>10</v>
      </c>
      <c r="M90" s="12" t="n">
        <v>20</v>
      </c>
    </row>
    <row r="91" hidden="1" ht="16.5" customHeight="1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Não</t>
        </is>
      </c>
      <c r="F91" s="12" t="n">
        <v>5</v>
      </c>
      <c r="G91" s="8" t="inlineStr">
        <is>
          <t>Trimestral</t>
        </is>
      </c>
      <c r="H91" s="8" t="inlineStr">
        <is>
          <t>Não</t>
        </is>
      </c>
      <c r="I91" s="12" t="inlineStr">
        <is>
          <t>-</t>
        </is>
      </c>
      <c r="J91" s="8" t="inlineStr">
        <is>
          <t>Não</t>
        </is>
      </c>
      <c r="K91" s="12" t="n">
        <v>0</v>
      </c>
      <c r="L91" s="12" t="n">
        <v>0</v>
      </c>
      <c r="M91" s="12" t="n">
        <v>5</v>
      </c>
    </row>
    <row r="92" ht="16.5" customHeight="1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Sim</t>
        </is>
      </c>
      <c r="F92" s="12" t="n">
        <v>15</v>
      </c>
      <c r="G92" s="8" t="inlineStr">
        <is>
          <t>Mensal</t>
        </is>
      </c>
      <c r="H92" s="8" t="inlineStr">
        <is>
          <t>Sim</t>
        </is>
      </c>
      <c r="I92" s="12" t="n">
        <v>30</v>
      </c>
      <c r="J92" s="8" t="inlineStr">
        <is>
          <t>Sim</t>
        </is>
      </c>
      <c r="K92" s="12" t="n">
        <v>20</v>
      </c>
      <c r="L92" s="12" t="n">
        <v>5</v>
      </c>
      <c r="M92" s="12" t="n">
        <v>60</v>
      </c>
    </row>
    <row r="93" hidden="1" ht="16.5" customHeight="1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Não</t>
        </is>
      </c>
      <c r="F93" s="12" t="n">
        <v>10</v>
      </c>
      <c r="G93" s="8" t="inlineStr">
        <is>
          <t>Anual</t>
        </is>
      </c>
      <c r="H93" s="8" t="inlineStr">
        <is>
          <t>Não</t>
        </is>
      </c>
      <c r="I93" s="12" t="inlineStr">
        <is>
          <t>-</t>
        </is>
      </c>
      <c r="J93" s="8" t="inlineStr">
        <is>
          <t>Sim</t>
        </is>
      </c>
      <c r="K93" s="12" t="n">
        <v>20</v>
      </c>
      <c r="L93" s="12" t="n">
        <v>15</v>
      </c>
      <c r="M93" s="12" t="n">
        <v>15</v>
      </c>
    </row>
    <row r="94" hidden="1" ht="16.5" customHeight="1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Sim</t>
        </is>
      </c>
      <c r="F94" s="12" t="n">
        <v>5</v>
      </c>
      <c r="G94" s="8" t="inlineStr">
        <is>
          <t>Mensal</t>
        </is>
      </c>
      <c r="H94" s="8" t="inlineStr">
        <is>
          <t>Não</t>
        </is>
      </c>
      <c r="I94" s="12" t="inlineStr">
        <is>
          <t>-</t>
        </is>
      </c>
      <c r="J94" s="8" t="inlineStr">
        <is>
          <t>Não</t>
        </is>
      </c>
      <c r="K94" s="12" t="n">
        <v>0</v>
      </c>
      <c r="L94" s="12" t="n">
        <v>1</v>
      </c>
      <c r="M94" s="12" t="n">
        <v>4</v>
      </c>
    </row>
    <row r="95" ht="16.5" customHeight="1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Não</t>
        </is>
      </c>
      <c r="F95" s="12" t="n">
        <v>15</v>
      </c>
      <c r="G95" s="8" t="inlineStr">
        <is>
          <t>Trimestral</t>
        </is>
      </c>
      <c r="H95" s="8" t="inlineStr">
        <is>
          <t>Sim</t>
        </is>
      </c>
      <c r="I95" s="12" t="n">
        <v>30</v>
      </c>
      <c r="J95" s="8" t="inlineStr">
        <is>
          <t>Sim</t>
        </is>
      </c>
      <c r="K95" s="12" t="n">
        <v>20</v>
      </c>
      <c r="L95" s="12" t="n">
        <v>20</v>
      </c>
      <c r="M95" s="12" t="n">
        <v>45</v>
      </c>
    </row>
    <row r="96" hidden="1" ht="16.5" customHeight="1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Sim</t>
        </is>
      </c>
      <c r="F96" s="12" t="n">
        <v>10</v>
      </c>
      <c r="G96" s="8" t="inlineStr">
        <is>
          <t>Trimestral</t>
        </is>
      </c>
      <c r="H96" s="8" t="inlineStr">
        <is>
          <t>Não</t>
        </is>
      </c>
      <c r="I96" s="12" t="inlineStr">
        <is>
          <t>-</t>
        </is>
      </c>
      <c r="J96" s="8" t="inlineStr">
        <is>
          <t>Sim</t>
        </is>
      </c>
      <c r="K96" s="12" t="n">
        <v>20</v>
      </c>
      <c r="L96" s="12" t="n">
        <v>15</v>
      </c>
      <c r="M96" s="12" t="n">
        <v>15</v>
      </c>
    </row>
    <row r="97" hidden="1" ht="16.5" customHeight="1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Não</t>
        </is>
      </c>
      <c r="F97" s="12" t="n">
        <v>5</v>
      </c>
      <c r="G97" s="8" t="inlineStr">
        <is>
          <t>Anual</t>
        </is>
      </c>
      <c r="H97" s="8" t="inlineStr">
        <is>
          <t>Não</t>
        </is>
      </c>
      <c r="I97" s="12" t="inlineStr">
        <is>
          <t>-</t>
        </is>
      </c>
      <c r="J97" s="8" t="inlineStr">
        <is>
          <t>Não</t>
        </is>
      </c>
      <c r="K97" s="12" t="n">
        <v>0</v>
      </c>
      <c r="L97" s="12" t="n">
        <v>0</v>
      </c>
      <c r="M97" s="12" t="n">
        <v>5</v>
      </c>
    </row>
    <row r="98" ht="16.5" customHeight="1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Sim</t>
        </is>
      </c>
      <c r="F98" s="12" t="n">
        <v>15</v>
      </c>
      <c r="G98" s="8" t="inlineStr">
        <is>
          <t>Mensal</t>
        </is>
      </c>
      <c r="H98" s="8" t="inlineStr">
        <is>
          <t>Sim</t>
        </is>
      </c>
      <c r="I98" s="12" t="n">
        <v>30</v>
      </c>
      <c r="J98" s="8" t="inlineStr">
        <is>
          <t>Sim</t>
        </is>
      </c>
      <c r="K98" s="12" t="n">
        <v>20</v>
      </c>
      <c r="L98" s="12" t="n">
        <v>7</v>
      </c>
      <c r="M98" s="12" t="n">
        <v>58</v>
      </c>
    </row>
    <row r="99" hidden="1" ht="16.5" customHeight="1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Não</t>
        </is>
      </c>
      <c r="F99" s="12" t="n">
        <v>10</v>
      </c>
      <c r="G99" s="8" t="inlineStr">
        <is>
          <t>Anual</t>
        </is>
      </c>
      <c r="H99" s="8" t="inlineStr">
        <is>
          <t>Não</t>
        </is>
      </c>
      <c r="I99" s="12" t="inlineStr">
        <is>
          <t>-</t>
        </is>
      </c>
      <c r="J99" s="8" t="inlineStr">
        <is>
          <t>Sim</t>
        </is>
      </c>
      <c r="K99" s="12" t="n">
        <v>20</v>
      </c>
      <c r="L99" s="12" t="n">
        <v>10</v>
      </c>
      <c r="M99" s="12" t="n">
        <v>20</v>
      </c>
    </row>
    <row r="100" hidden="1" ht="16.5" customHeight="1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Sim</t>
        </is>
      </c>
      <c r="F100" s="12" t="n">
        <v>5</v>
      </c>
      <c r="G100" s="8" t="inlineStr">
        <is>
          <t>Trimestral</t>
        </is>
      </c>
      <c r="H100" s="8" t="inlineStr">
        <is>
          <t>Não</t>
        </is>
      </c>
      <c r="I100" s="12" t="inlineStr">
        <is>
          <t>-</t>
        </is>
      </c>
      <c r="J100" s="8" t="inlineStr">
        <is>
          <t>Não</t>
        </is>
      </c>
      <c r="K100" s="12" t="n">
        <v>0</v>
      </c>
      <c r="L100" s="12" t="n">
        <v>1</v>
      </c>
      <c r="M100" s="12" t="n">
        <v>4</v>
      </c>
    </row>
    <row r="101" ht="16.5" customHeight="1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Não</t>
        </is>
      </c>
      <c r="F101" s="12" t="n">
        <v>15</v>
      </c>
      <c r="G101" s="8" t="inlineStr">
        <is>
          <t>Mensal</t>
        </is>
      </c>
      <c r="H101" s="8" t="inlineStr">
        <is>
          <t>Sim</t>
        </is>
      </c>
      <c r="I101" s="12" t="n">
        <v>30</v>
      </c>
      <c r="J101" s="8" t="inlineStr">
        <is>
          <t>Sim</t>
        </is>
      </c>
      <c r="K101" s="12" t="n">
        <v>20</v>
      </c>
      <c r="L101" s="12" t="n">
        <v>15</v>
      </c>
      <c r="M101" s="12" t="n">
        <v>50</v>
      </c>
    </row>
    <row r="102" hidden="1" ht="16.5" customHeight="1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Sim</t>
        </is>
      </c>
      <c r="F102" s="12" t="n">
        <v>10</v>
      </c>
      <c r="G102" s="8" t="inlineStr">
        <is>
          <t>Mensal</t>
        </is>
      </c>
      <c r="H102" s="8" t="inlineStr">
        <is>
          <t>Não</t>
        </is>
      </c>
      <c r="I102" s="12" t="inlineStr">
        <is>
          <t>-</t>
        </is>
      </c>
      <c r="J102" s="8" t="inlineStr">
        <is>
          <t>Sim</t>
        </is>
      </c>
      <c r="K102" s="12" t="n">
        <v>20</v>
      </c>
      <c r="L102" s="12" t="n">
        <v>5</v>
      </c>
      <c r="M102" s="12" t="n">
        <v>25</v>
      </c>
    </row>
    <row r="103" hidden="1" ht="16.5" customHeight="1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Não</t>
        </is>
      </c>
      <c r="F103" s="12" t="n">
        <v>5</v>
      </c>
      <c r="G103" s="8" t="inlineStr">
        <is>
          <t>Anual</t>
        </is>
      </c>
      <c r="H103" s="8" t="inlineStr">
        <is>
          <t>Não</t>
        </is>
      </c>
      <c r="I103" s="12" t="inlineStr">
        <is>
          <t>-</t>
        </is>
      </c>
      <c r="J103" s="8" t="inlineStr">
        <is>
          <t>Não</t>
        </is>
      </c>
      <c r="K103" s="12" t="n">
        <v>0</v>
      </c>
      <c r="L103" s="12" t="n">
        <v>0</v>
      </c>
      <c r="M103" s="12" t="n">
        <v>5</v>
      </c>
    </row>
    <row r="104" ht="16.5" customHeight="1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Sim</t>
        </is>
      </c>
      <c r="F104" s="12" t="n">
        <v>15</v>
      </c>
      <c r="G104" s="8" t="inlineStr">
        <is>
          <t>Trimestral</t>
        </is>
      </c>
      <c r="H104" s="8" t="inlineStr">
        <is>
          <t>Sim</t>
        </is>
      </c>
      <c r="I104" s="12" t="n">
        <v>30</v>
      </c>
      <c r="J104" s="8" t="inlineStr">
        <is>
          <t>Sim</t>
        </is>
      </c>
      <c r="K104" s="12" t="n">
        <v>20</v>
      </c>
      <c r="L104" s="12" t="n">
        <v>20</v>
      </c>
      <c r="M104" s="12" t="n">
        <v>45</v>
      </c>
    </row>
    <row r="105" hidden="1" ht="16.5" customHeight="1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Não</t>
        </is>
      </c>
      <c r="F105" s="12" t="n">
        <v>10</v>
      </c>
      <c r="G105" s="8" t="inlineStr">
        <is>
          <t>Trimestral</t>
        </is>
      </c>
      <c r="H105" s="8" t="inlineStr">
        <is>
          <t>Não</t>
        </is>
      </c>
      <c r="I105" s="12" t="inlineStr">
        <is>
          <t>-</t>
        </is>
      </c>
      <c r="J105" s="8" t="inlineStr">
        <is>
          <t>Sim</t>
        </is>
      </c>
      <c r="K105" s="12" t="n">
        <v>20</v>
      </c>
      <c r="L105" s="12" t="n">
        <v>12</v>
      </c>
      <c r="M105" s="12" t="n">
        <v>18</v>
      </c>
    </row>
    <row r="106" hidden="1" ht="16.5" customHeight="1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Sim</t>
        </is>
      </c>
      <c r="F106" s="12" t="n">
        <v>5</v>
      </c>
      <c r="G106" s="8" t="inlineStr">
        <is>
          <t>Mensal</t>
        </is>
      </c>
      <c r="H106" s="8" t="inlineStr">
        <is>
          <t>Não</t>
        </is>
      </c>
      <c r="I106" s="12" t="inlineStr">
        <is>
          <t>-</t>
        </is>
      </c>
      <c r="J106" s="8" t="inlineStr">
        <is>
          <t>Não</t>
        </is>
      </c>
      <c r="K106" s="12" t="n">
        <v>0</v>
      </c>
      <c r="L106" s="12" t="n">
        <v>2</v>
      </c>
      <c r="M106" s="12" t="n">
        <v>3</v>
      </c>
    </row>
    <row r="107" hidden="1" ht="16.5" customHeight="1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Sim</t>
        </is>
      </c>
      <c r="F107" s="12" t="n">
        <v>5</v>
      </c>
      <c r="G107" s="8" t="inlineStr">
        <is>
          <t>Mensal</t>
        </is>
      </c>
      <c r="H107" s="8" t="inlineStr">
        <is>
          <t>Não</t>
        </is>
      </c>
      <c r="I107" s="12" t="inlineStr">
        <is>
          <t>-</t>
        </is>
      </c>
      <c r="J107" s="8" t="inlineStr">
        <is>
          <t>Não</t>
        </is>
      </c>
      <c r="K107" s="12" t="n">
        <v>0</v>
      </c>
      <c r="L107" s="12" t="n">
        <v>0</v>
      </c>
      <c r="M107" s="12" t="n">
        <v>5</v>
      </c>
    </row>
    <row r="108" ht="16.5" customHeight="1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Não</t>
        </is>
      </c>
      <c r="F108" s="12" t="n">
        <v>15</v>
      </c>
      <c r="G108" s="8" t="inlineStr">
        <is>
          <t>Trimestral</t>
        </is>
      </c>
      <c r="H108" s="8" t="inlineStr">
        <is>
          <t>Sim</t>
        </is>
      </c>
      <c r="I108" s="12" t="n">
        <v>30</v>
      </c>
      <c r="J108" s="8" t="inlineStr">
        <is>
          <t>Sim</t>
        </is>
      </c>
      <c r="K108" s="12" t="n">
        <v>20</v>
      </c>
      <c r="L108" s="12" t="n">
        <v>7</v>
      </c>
      <c r="M108" s="12" t="n">
        <v>58</v>
      </c>
    </row>
    <row r="109" hidden="1" ht="16.5" customHeight="1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Sim</t>
        </is>
      </c>
      <c r="F109" s="12" t="n">
        <v>10</v>
      </c>
      <c r="G109" s="8" t="inlineStr">
        <is>
          <t>Anual</t>
        </is>
      </c>
      <c r="H109" s="8" t="inlineStr">
        <is>
          <t>Não</t>
        </is>
      </c>
      <c r="I109" s="12" t="inlineStr">
        <is>
          <t>-</t>
        </is>
      </c>
      <c r="J109" s="8" t="inlineStr">
        <is>
          <t>Sim</t>
        </is>
      </c>
      <c r="K109" s="12" t="n">
        <v>20</v>
      </c>
      <c r="L109" s="12" t="n">
        <v>10</v>
      </c>
      <c r="M109" s="12" t="n">
        <v>20</v>
      </c>
    </row>
    <row r="110" hidden="1" ht="16.5" customHeight="1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Não</t>
        </is>
      </c>
      <c r="F110" s="12" t="n">
        <v>5</v>
      </c>
      <c r="G110" s="8" t="inlineStr">
        <is>
          <t>Trimestral</t>
        </is>
      </c>
      <c r="H110" s="8" t="inlineStr">
        <is>
          <t>Não</t>
        </is>
      </c>
      <c r="I110" s="12" t="inlineStr">
        <is>
          <t>-</t>
        </is>
      </c>
      <c r="J110" s="8" t="inlineStr">
        <is>
          <t>Não</t>
        </is>
      </c>
      <c r="K110" s="12" t="n">
        <v>0</v>
      </c>
      <c r="L110" s="12" t="n">
        <v>1</v>
      </c>
      <c r="M110" s="12" t="n">
        <v>4</v>
      </c>
    </row>
    <row r="111" ht="16.5" customHeight="1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Sim</t>
        </is>
      </c>
      <c r="F111" s="12" t="n">
        <v>15</v>
      </c>
      <c r="G111" s="8" t="inlineStr">
        <is>
          <t>Mensal</t>
        </is>
      </c>
      <c r="H111" s="8" t="inlineStr">
        <is>
          <t>Sim</t>
        </is>
      </c>
      <c r="I111" s="12" t="n">
        <v>30</v>
      </c>
      <c r="J111" s="8" t="inlineStr">
        <is>
          <t>Sim</t>
        </is>
      </c>
      <c r="K111" s="12" t="n">
        <v>20</v>
      </c>
      <c r="L111" s="12" t="n">
        <v>15</v>
      </c>
      <c r="M111" s="12" t="n">
        <v>50</v>
      </c>
    </row>
    <row r="112" hidden="1" ht="16.5" customHeight="1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Não</t>
        </is>
      </c>
      <c r="F112" s="12" t="n">
        <v>10</v>
      </c>
      <c r="G112" s="8" t="inlineStr">
        <is>
          <t>Mensal</t>
        </is>
      </c>
      <c r="H112" s="8" t="inlineStr">
        <is>
          <t>Não</t>
        </is>
      </c>
      <c r="I112" s="12" t="inlineStr">
        <is>
          <t>-</t>
        </is>
      </c>
      <c r="J112" s="8" t="inlineStr">
        <is>
          <t>Sim</t>
        </is>
      </c>
      <c r="K112" s="12" t="n">
        <v>20</v>
      </c>
      <c r="L112" s="12" t="n">
        <v>5</v>
      </c>
      <c r="M112" s="12" t="n">
        <v>25</v>
      </c>
    </row>
    <row r="113" hidden="1" ht="16.5" customHeight="1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Sim</t>
        </is>
      </c>
      <c r="F113" s="12" t="n">
        <v>5</v>
      </c>
      <c r="G113" s="8" t="inlineStr">
        <is>
          <t>Anual</t>
        </is>
      </c>
      <c r="H113" s="8" t="inlineStr">
        <is>
          <t>Não</t>
        </is>
      </c>
      <c r="I113" s="12" t="inlineStr">
        <is>
          <t>-</t>
        </is>
      </c>
      <c r="J113" s="8" t="inlineStr">
        <is>
          <t>Não</t>
        </is>
      </c>
      <c r="K113" s="12" t="n">
        <v>0</v>
      </c>
      <c r="L113" s="12" t="n">
        <v>0</v>
      </c>
      <c r="M113" s="12" t="n">
        <v>5</v>
      </c>
    </row>
    <row r="114" ht="16.5" customHeight="1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Não</t>
        </is>
      </c>
      <c r="F114" s="12" t="n">
        <v>15</v>
      </c>
      <c r="G114" s="8" t="inlineStr">
        <is>
          <t>Trimestral</t>
        </is>
      </c>
      <c r="H114" s="8" t="inlineStr">
        <is>
          <t>Sim</t>
        </is>
      </c>
      <c r="I114" s="12" t="n">
        <v>30</v>
      </c>
      <c r="J114" s="8" t="inlineStr">
        <is>
          <t>Sim</t>
        </is>
      </c>
      <c r="K114" s="12" t="n">
        <v>20</v>
      </c>
      <c r="L114" s="12" t="n">
        <v>20</v>
      </c>
      <c r="M114" s="12" t="n">
        <v>45</v>
      </c>
    </row>
    <row r="115" hidden="1" ht="16.5" customHeight="1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Sim</t>
        </is>
      </c>
      <c r="F115" s="12" t="n">
        <v>10</v>
      </c>
      <c r="G115" s="8" t="inlineStr">
        <is>
          <t>Trimestral</t>
        </is>
      </c>
      <c r="H115" s="8" t="inlineStr">
        <is>
          <t>Não</t>
        </is>
      </c>
      <c r="I115" s="12" t="inlineStr">
        <is>
          <t>-</t>
        </is>
      </c>
      <c r="J115" s="8" t="inlineStr">
        <is>
          <t>Sim</t>
        </is>
      </c>
      <c r="K115" s="12" t="n">
        <v>20</v>
      </c>
      <c r="L115" s="12" t="n">
        <v>12</v>
      </c>
      <c r="M115" s="12" t="n">
        <v>18</v>
      </c>
    </row>
    <row r="116" hidden="1" ht="16.5" customHeight="1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Não</t>
        </is>
      </c>
      <c r="F116" s="12" t="n">
        <v>5</v>
      </c>
      <c r="G116" s="8" t="inlineStr">
        <is>
          <t>Mensal</t>
        </is>
      </c>
      <c r="H116" s="8" t="inlineStr">
        <is>
          <t>Não</t>
        </is>
      </c>
      <c r="I116" s="12" t="inlineStr">
        <is>
          <t>-</t>
        </is>
      </c>
      <c r="J116" s="8" t="inlineStr">
        <is>
          <t>Não</t>
        </is>
      </c>
      <c r="K116" s="12" t="n">
        <v>0</v>
      </c>
      <c r="L116" s="12" t="n">
        <v>2</v>
      </c>
      <c r="M116" s="12" t="n">
        <v>3</v>
      </c>
    </row>
    <row r="117" ht="16.5" customHeight="1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Sim</t>
        </is>
      </c>
      <c r="F117" s="12" t="n">
        <v>15</v>
      </c>
      <c r="G117" s="8" t="inlineStr">
        <is>
          <t>Anual</t>
        </is>
      </c>
      <c r="H117" s="8" t="inlineStr">
        <is>
          <t>Sim</t>
        </is>
      </c>
      <c r="I117" s="12" t="n">
        <v>30</v>
      </c>
      <c r="J117" s="8" t="inlineStr">
        <is>
          <t>Sim</t>
        </is>
      </c>
      <c r="K117" s="12" t="n">
        <v>20</v>
      </c>
      <c r="L117" s="12" t="n">
        <v>5</v>
      </c>
      <c r="M117" s="12" t="n">
        <v>60</v>
      </c>
    </row>
    <row r="118" hidden="1" ht="16.5" customHeight="1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Não</t>
        </is>
      </c>
      <c r="F118" s="12" t="n">
        <v>10</v>
      </c>
      <c r="G118" s="8" t="inlineStr">
        <is>
          <t>Mensal</t>
        </is>
      </c>
      <c r="H118" s="8" t="inlineStr">
        <is>
          <t>Não</t>
        </is>
      </c>
      <c r="I118" s="12" t="inlineStr">
        <is>
          <t>-</t>
        </is>
      </c>
      <c r="J118" s="8" t="inlineStr">
        <is>
          <t>Sim</t>
        </is>
      </c>
      <c r="K118" s="12" t="n">
        <v>20</v>
      </c>
      <c r="L118" s="12" t="n">
        <v>10</v>
      </c>
      <c r="M118" s="12" t="n">
        <v>20</v>
      </c>
    </row>
    <row r="119" hidden="1" ht="16.5" customHeight="1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Sim</t>
        </is>
      </c>
      <c r="F119" s="12" t="n">
        <v>5</v>
      </c>
      <c r="G119" s="8" t="inlineStr">
        <is>
          <t>Trimestral</t>
        </is>
      </c>
      <c r="H119" s="8" t="inlineStr">
        <is>
          <t>Não</t>
        </is>
      </c>
      <c r="I119" s="12" t="inlineStr">
        <is>
          <t>-</t>
        </is>
      </c>
      <c r="J119" s="8" t="inlineStr">
        <is>
          <t>Não</t>
        </is>
      </c>
      <c r="K119" s="12" t="n">
        <v>0</v>
      </c>
      <c r="L119" s="12" t="n">
        <v>0</v>
      </c>
      <c r="M119" s="12" t="n">
        <v>5</v>
      </c>
    </row>
    <row r="120" ht="16.5" customHeight="1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Não</t>
        </is>
      </c>
      <c r="F120" s="12" t="n">
        <v>15</v>
      </c>
      <c r="G120" s="8" t="inlineStr">
        <is>
          <t>Mensal</t>
        </is>
      </c>
      <c r="H120" s="8" t="inlineStr">
        <is>
          <t>Sim</t>
        </is>
      </c>
      <c r="I120" s="12" t="n">
        <v>30</v>
      </c>
      <c r="J120" s="8" t="inlineStr">
        <is>
          <t>Sim</t>
        </is>
      </c>
      <c r="K120" s="12" t="n">
        <v>20</v>
      </c>
      <c r="L120" s="12" t="n">
        <v>3</v>
      </c>
      <c r="M120" s="12" t="n">
        <v>62</v>
      </c>
    </row>
    <row r="121" hidden="1" ht="16.5" customHeight="1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Sim</t>
        </is>
      </c>
      <c r="F121" s="12" t="n">
        <v>10</v>
      </c>
      <c r="G121" s="8" t="inlineStr">
        <is>
          <t>Anual</t>
        </is>
      </c>
      <c r="H121" s="8" t="inlineStr">
        <is>
          <t>Não</t>
        </is>
      </c>
      <c r="I121" s="12" t="inlineStr">
        <is>
          <t>-</t>
        </is>
      </c>
      <c r="J121" s="8" t="inlineStr">
        <is>
          <t>Sim</t>
        </is>
      </c>
      <c r="K121" s="12" t="n">
        <v>20</v>
      </c>
      <c r="L121" s="12" t="n">
        <v>15</v>
      </c>
      <c r="M121" s="12" t="n">
        <v>15</v>
      </c>
    </row>
    <row r="122" hidden="1" ht="16.5" customHeight="1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Não</t>
        </is>
      </c>
      <c r="F122" s="12" t="n">
        <v>5</v>
      </c>
      <c r="G122" s="8" t="inlineStr">
        <is>
          <t>Mensal</t>
        </is>
      </c>
      <c r="H122" s="8" t="inlineStr">
        <is>
          <t>Não</t>
        </is>
      </c>
      <c r="I122" s="12" t="inlineStr">
        <is>
          <t>-</t>
        </is>
      </c>
      <c r="J122" s="8" t="inlineStr">
        <is>
          <t>Não</t>
        </is>
      </c>
      <c r="K122" s="12" t="n">
        <v>0</v>
      </c>
      <c r="L122" s="12" t="n">
        <v>1</v>
      </c>
      <c r="M122" s="12" t="n">
        <v>4</v>
      </c>
    </row>
    <row r="123" ht="16.5" customHeight="1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Sim</t>
        </is>
      </c>
      <c r="F123" s="12" t="n">
        <v>15</v>
      </c>
      <c r="G123" s="8" t="inlineStr">
        <is>
          <t>Trimestral</t>
        </is>
      </c>
      <c r="H123" s="8" t="inlineStr">
        <is>
          <t>Sim</t>
        </is>
      </c>
      <c r="I123" s="12" t="n">
        <v>30</v>
      </c>
      <c r="J123" s="8" t="inlineStr">
        <is>
          <t>Sim</t>
        </is>
      </c>
      <c r="K123" s="12" t="n">
        <v>20</v>
      </c>
      <c r="L123" s="12" t="n">
        <v>7</v>
      </c>
      <c r="M123" s="12" t="n">
        <v>58</v>
      </c>
    </row>
    <row r="124" hidden="1" ht="16.5" customHeight="1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Não</t>
        </is>
      </c>
      <c r="F124" s="12" t="n">
        <v>10</v>
      </c>
      <c r="G124" s="8" t="inlineStr">
        <is>
          <t>Mensal</t>
        </is>
      </c>
      <c r="H124" s="8" t="inlineStr">
        <is>
          <t>Não</t>
        </is>
      </c>
      <c r="I124" s="12" t="inlineStr">
        <is>
          <t>-</t>
        </is>
      </c>
      <c r="J124" s="8" t="inlineStr">
        <is>
          <t>Sim</t>
        </is>
      </c>
      <c r="K124" s="12" t="n">
        <v>20</v>
      </c>
      <c r="L124" s="12" t="n">
        <v>10</v>
      </c>
      <c r="M124" s="12" t="n">
        <v>20</v>
      </c>
    </row>
    <row r="125" hidden="1" ht="16.5" customHeight="1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Sim</t>
        </is>
      </c>
      <c r="F125" s="12" t="n">
        <v>5</v>
      </c>
      <c r="G125" s="8" t="inlineStr">
        <is>
          <t>Anual</t>
        </is>
      </c>
      <c r="H125" s="8" t="inlineStr">
        <is>
          <t>Não</t>
        </is>
      </c>
      <c r="I125" s="12" t="inlineStr">
        <is>
          <t>-</t>
        </is>
      </c>
      <c r="J125" s="8" t="inlineStr">
        <is>
          <t>Não</t>
        </is>
      </c>
      <c r="K125" s="12" t="n">
        <v>0</v>
      </c>
      <c r="L125" s="12" t="n">
        <v>0</v>
      </c>
      <c r="M125" s="12" t="n">
        <v>5</v>
      </c>
    </row>
    <row r="126" ht="16.5" customHeight="1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Não</t>
        </is>
      </c>
      <c r="F126" s="12" t="n">
        <v>15</v>
      </c>
      <c r="G126" s="8" t="inlineStr">
        <is>
          <t>Mensal</t>
        </is>
      </c>
      <c r="H126" s="8" t="inlineStr">
        <is>
          <t>Sim</t>
        </is>
      </c>
      <c r="I126" s="12" t="n">
        <v>30</v>
      </c>
      <c r="J126" s="8" t="inlineStr">
        <is>
          <t>Sim</t>
        </is>
      </c>
      <c r="K126" s="12" t="n">
        <v>20</v>
      </c>
      <c r="L126" s="12" t="n">
        <v>20</v>
      </c>
      <c r="M126" s="12" t="n">
        <v>45</v>
      </c>
    </row>
    <row r="127" hidden="1" ht="16.5" customHeight="1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Sim</t>
        </is>
      </c>
      <c r="F127" s="12" t="n">
        <v>10</v>
      </c>
      <c r="G127" s="8" t="inlineStr">
        <is>
          <t>Trimestral</t>
        </is>
      </c>
      <c r="H127" s="8" t="inlineStr">
        <is>
          <t>Não</t>
        </is>
      </c>
      <c r="I127" s="12" t="inlineStr">
        <is>
          <t>-</t>
        </is>
      </c>
      <c r="J127" s="8" t="inlineStr">
        <is>
          <t>Sim</t>
        </is>
      </c>
      <c r="K127" s="12" t="n">
        <v>20</v>
      </c>
      <c r="L127" s="12" t="n">
        <v>15</v>
      </c>
      <c r="M127" s="12" t="n">
        <v>15</v>
      </c>
    </row>
    <row r="128" hidden="1" ht="16.5" customHeight="1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Não</t>
        </is>
      </c>
      <c r="F128" s="12" t="n">
        <v>5</v>
      </c>
      <c r="G128" s="8" t="inlineStr">
        <is>
          <t>Mensal</t>
        </is>
      </c>
      <c r="H128" s="8" t="inlineStr">
        <is>
          <t>Não</t>
        </is>
      </c>
      <c r="I128" s="12" t="inlineStr">
        <is>
          <t>-</t>
        </is>
      </c>
      <c r="J128" s="8" t="inlineStr">
        <is>
          <t>Não</t>
        </is>
      </c>
      <c r="K128" s="12" t="n">
        <v>0</v>
      </c>
      <c r="L128" s="12" t="n">
        <v>1</v>
      </c>
      <c r="M128" s="12" t="n">
        <v>4</v>
      </c>
    </row>
    <row r="129" ht="16.5" customHeight="1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Sim</t>
        </is>
      </c>
      <c r="F129" s="12" t="n">
        <v>15</v>
      </c>
      <c r="G129" s="8" t="inlineStr">
        <is>
          <t>Anual</t>
        </is>
      </c>
      <c r="H129" s="8" t="inlineStr">
        <is>
          <t>Sim</t>
        </is>
      </c>
      <c r="I129" s="12" t="n">
        <v>30</v>
      </c>
      <c r="J129" s="8" t="inlineStr">
        <is>
          <t>Sim</t>
        </is>
      </c>
      <c r="K129" s="12" t="n">
        <v>20</v>
      </c>
      <c r="L129" s="12" t="n">
        <v>3</v>
      </c>
      <c r="M129" s="12" t="n">
        <v>62</v>
      </c>
    </row>
    <row r="130" hidden="1" ht="16.5" customHeight="1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Não</t>
        </is>
      </c>
      <c r="F130" s="12" t="n">
        <v>10</v>
      </c>
      <c r="G130" s="8" t="inlineStr">
        <is>
          <t>Mensal</t>
        </is>
      </c>
      <c r="H130" s="8" t="inlineStr">
        <is>
          <t>Não</t>
        </is>
      </c>
      <c r="I130" s="12" t="inlineStr">
        <is>
          <t>-</t>
        </is>
      </c>
      <c r="J130" s="8" t="inlineStr">
        <is>
          <t>Sim</t>
        </is>
      </c>
      <c r="K130" s="12" t="n">
        <v>20</v>
      </c>
      <c r="L130" s="12" t="n">
        <v>10</v>
      </c>
      <c r="M130" s="12" t="n">
        <v>20</v>
      </c>
    </row>
    <row r="131" hidden="1" ht="16.5" customHeight="1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Sim</t>
        </is>
      </c>
      <c r="F131" s="12" t="n">
        <v>5</v>
      </c>
      <c r="G131" s="8" t="inlineStr">
        <is>
          <t>Trimestral</t>
        </is>
      </c>
      <c r="H131" s="8" t="inlineStr">
        <is>
          <t>Não</t>
        </is>
      </c>
      <c r="I131" s="12" t="inlineStr">
        <is>
          <t>-</t>
        </is>
      </c>
      <c r="J131" s="8" t="inlineStr">
        <is>
          <t>Não</t>
        </is>
      </c>
      <c r="K131" s="12" t="n">
        <v>0</v>
      </c>
      <c r="L131" s="12" t="n">
        <v>0</v>
      </c>
      <c r="M131" s="12" t="n">
        <v>5</v>
      </c>
    </row>
    <row r="132" ht="16.5" customHeight="1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Não</t>
        </is>
      </c>
      <c r="F132" s="12" t="n">
        <v>15</v>
      </c>
      <c r="G132" s="8" t="inlineStr">
        <is>
          <t>Mensal</t>
        </is>
      </c>
      <c r="H132" s="8" t="inlineStr">
        <is>
          <t>Sim</t>
        </is>
      </c>
      <c r="I132" s="12" t="n">
        <v>30</v>
      </c>
      <c r="J132" s="8" t="inlineStr">
        <is>
          <t>Sim</t>
        </is>
      </c>
      <c r="K132" s="12" t="n">
        <v>20</v>
      </c>
      <c r="L132" s="12" t="n">
        <v>15</v>
      </c>
      <c r="M132" s="12" t="n">
        <v>50</v>
      </c>
    </row>
    <row r="133" hidden="1" ht="16.5" customHeight="1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Sim</t>
        </is>
      </c>
      <c r="F133" s="12" t="n">
        <v>10</v>
      </c>
      <c r="G133" s="8" t="inlineStr">
        <is>
          <t>Anual</t>
        </is>
      </c>
      <c r="H133" s="8" t="inlineStr">
        <is>
          <t>Não</t>
        </is>
      </c>
      <c r="I133" s="12" t="inlineStr">
        <is>
          <t>-</t>
        </is>
      </c>
      <c r="J133" s="8" t="inlineStr">
        <is>
          <t>Sim</t>
        </is>
      </c>
      <c r="K133" s="12" t="n">
        <v>20</v>
      </c>
      <c r="L133" s="12" t="n">
        <v>15</v>
      </c>
      <c r="M133" s="12" t="n">
        <v>15</v>
      </c>
    </row>
    <row r="134" hidden="1" ht="16.5" customHeight="1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Não</t>
        </is>
      </c>
      <c r="F134" s="12" t="n">
        <v>5</v>
      </c>
      <c r="G134" s="8" t="inlineStr">
        <is>
          <t>Mensal</t>
        </is>
      </c>
      <c r="H134" s="8" t="inlineStr">
        <is>
          <t>Não</t>
        </is>
      </c>
      <c r="I134" s="12" t="inlineStr">
        <is>
          <t>-</t>
        </is>
      </c>
      <c r="J134" s="8" t="inlineStr">
        <is>
          <t>Não</t>
        </is>
      </c>
      <c r="K134" s="12" t="n">
        <v>0</v>
      </c>
      <c r="L134" s="12" t="n">
        <v>1</v>
      </c>
      <c r="M134" s="12" t="n">
        <v>4</v>
      </c>
    </row>
    <row r="135" ht="16.5" customHeight="1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Sim</t>
        </is>
      </c>
      <c r="F135" s="12" t="n">
        <v>15</v>
      </c>
      <c r="G135" s="8" t="inlineStr">
        <is>
          <t>Trimestral</t>
        </is>
      </c>
      <c r="H135" s="8" t="inlineStr">
        <is>
          <t>Sim</t>
        </is>
      </c>
      <c r="I135" s="12" t="n">
        <v>30</v>
      </c>
      <c r="J135" s="8" t="inlineStr">
        <is>
          <t>Sim</t>
        </is>
      </c>
      <c r="K135" s="12" t="n">
        <v>20</v>
      </c>
      <c r="L135" s="12" t="n">
        <v>7</v>
      </c>
      <c r="M135" s="12" t="n">
        <v>58</v>
      </c>
    </row>
    <row r="136" hidden="1" ht="16.5" customHeight="1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Não</t>
        </is>
      </c>
      <c r="F136" s="12" t="n">
        <v>10</v>
      </c>
      <c r="G136" s="8" t="inlineStr">
        <is>
          <t>Mensal</t>
        </is>
      </c>
      <c r="H136" s="8" t="inlineStr">
        <is>
          <t>Não</t>
        </is>
      </c>
      <c r="I136" s="12" t="inlineStr">
        <is>
          <t>-</t>
        </is>
      </c>
      <c r="J136" s="8" t="inlineStr">
        <is>
          <t>Sim</t>
        </is>
      </c>
      <c r="K136" s="12" t="n">
        <v>20</v>
      </c>
      <c r="L136" s="12" t="n">
        <v>10</v>
      </c>
      <c r="M136" s="12" t="n">
        <v>20</v>
      </c>
    </row>
    <row r="137" hidden="1" ht="16.5" customHeight="1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Sim</t>
        </is>
      </c>
      <c r="F137" s="12" t="n">
        <v>5</v>
      </c>
      <c r="G137" s="8" t="inlineStr">
        <is>
          <t>Mensal</t>
        </is>
      </c>
      <c r="H137" s="8" t="inlineStr">
        <is>
          <t>Não</t>
        </is>
      </c>
      <c r="I137" s="12" t="inlineStr">
        <is>
          <t>-</t>
        </is>
      </c>
      <c r="J137" s="8" t="inlineStr">
        <is>
          <t>Não</t>
        </is>
      </c>
      <c r="K137" s="12" t="n">
        <v>0</v>
      </c>
      <c r="L137" s="12" t="n">
        <v>0</v>
      </c>
      <c r="M137" s="12" t="n">
        <v>5</v>
      </c>
    </row>
    <row r="138" ht="16.5" customHeight="1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Não</t>
        </is>
      </c>
      <c r="F138" s="12" t="n">
        <v>15</v>
      </c>
      <c r="G138" s="8" t="inlineStr">
        <is>
          <t>Trimestral</t>
        </is>
      </c>
      <c r="H138" s="8" t="inlineStr">
        <is>
          <t>Sim</t>
        </is>
      </c>
      <c r="I138" s="12" t="n">
        <v>30</v>
      </c>
      <c r="J138" s="8" t="inlineStr">
        <is>
          <t>Sim</t>
        </is>
      </c>
      <c r="K138" s="12" t="n">
        <v>20</v>
      </c>
      <c r="L138" s="12" t="n">
        <v>7</v>
      </c>
      <c r="M138" s="12" t="n">
        <v>58</v>
      </c>
    </row>
    <row r="139" hidden="1" ht="16.5" customHeight="1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Sim</t>
        </is>
      </c>
      <c r="F139" s="12" t="n">
        <v>10</v>
      </c>
      <c r="G139" s="8" t="inlineStr">
        <is>
          <t>Anual</t>
        </is>
      </c>
      <c r="H139" s="8" t="inlineStr">
        <is>
          <t>Não</t>
        </is>
      </c>
      <c r="I139" s="12" t="inlineStr">
        <is>
          <t>-</t>
        </is>
      </c>
      <c r="J139" s="8" t="inlineStr">
        <is>
          <t>Sim</t>
        </is>
      </c>
      <c r="K139" s="12" t="n">
        <v>20</v>
      </c>
      <c r="L139" s="12" t="n">
        <v>10</v>
      </c>
      <c r="M139" s="12" t="n">
        <v>20</v>
      </c>
    </row>
    <row r="140" hidden="1" ht="16.5" customHeight="1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Não</t>
        </is>
      </c>
      <c r="F140" s="12" t="n">
        <v>5</v>
      </c>
      <c r="G140" s="8" t="inlineStr">
        <is>
          <t>Trimestral</t>
        </is>
      </c>
      <c r="H140" s="8" t="inlineStr">
        <is>
          <t>Não</t>
        </is>
      </c>
      <c r="I140" s="12" t="inlineStr">
        <is>
          <t>-</t>
        </is>
      </c>
      <c r="J140" s="8" t="inlineStr">
        <is>
          <t>Não</t>
        </is>
      </c>
      <c r="K140" s="12" t="n">
        <v>0</v>
      </c>
      <c r="L140" s="12" t="n">
        <v>1</v>
      </c>
      <c r="M140" s="12" t="n">
        <v>4</v>
      </c>
    </row>
    <row r="141" ht="16.5" customHeight="1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Sim</t>
        </is>
      </c>
      <c r="F141" s="12" t="n">
        <v>15</v>
      </c>
      <c r="G141" s="8" t="inlineStr">
        <is>
          <t>Mensal</t>
        </is>
      </c>
      <c r="H141" s="8" t="inlineStr">
        <is>
          <t>Sim</t>
        </is>
      </c>
      <c r="I141" s="12" t="n">
        <v>30</v>
      </c>
      <c r="J141" s="8" t="inlineStr">
        <is>
          <t>Sim</t>
        </is>
      </c>
      <c r="K141" s="12" t="n">
        <v>20</v>
      </c>
      <c r="L141" s="12" t="n">
        <v>15</v>
      </c>
      <c r="M141" s="12" t="n">
        <v>50</v>
      </c>
    </row>
    <row r="142" hidden="1" ht="16.5" customHeight="1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Não</t>
        </is>
      </c>
      <c r="F142" s="12" t="n">
        <v>10</v>
      </c>
      <c r="G142" s="8" t="inlineStr">
        <is>
          <t>Mensal</t>
        </is>
      </c>
      <c r="H142" s="8" t="inlineStr">
        <is>
          <t>Não</t>
        </is>
      </c>
      <c r="I142" s="12" t="inlineStr">
        <is>
          <t>-</t>
        </is>
      </c>
      <c r="J142" s="8" t="inlineStr">
        <is>
          <t>Sim</t>
        </is>
      </c>
      <c r="K142" s="12" t="n">
        <v>20</v>
      </c>
      <c r="L142" s="12" t="n">
        <v>5</v>
      </c>
      <c r="M142" s="12" t="n">
        <v>25</v>
      </c>
    </row>
    <row r="143" hidden="1" ht="16.5" customHeight="1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Sim</t>
        </is>
      </c>
      <c r="F143" s="12" t="n">
        <v>5</v>
      </c>
      <c r="G143" s="8" t="inlineStr">
        <is>
          <t>Anual</t>
        </is>
      </c>
      <c r="H143" s="8" t="inlineStr">
        <is>
          <t>Não</t>
        </is>
      </c>
      <c r="I143" s="12" t="inlineStr">
        <is>
          <t>-</t>
        </is>
      </c>
      <c r="J143" s="8" t="inlineStr">
        <is>
          <t>Não</t>
        </is>
      </c>
      <c r="K143" s="12" t="n">
        <v>0</v>
      </c>
      <c r="L143" s="12" t="n">
        <v>0</v>
      </c>
      <c r="M143" s="12" t="n">
        <v>5</v>
      </c>
    </row>
    <row r="144" ht="16.5" customHeight="1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Não</t>
        </is>
      </c>
      <c r="F144" s="12" t="n">
        <v>15</v>
      </c>
      <c r="G144" s="8" t="inlineStr">
        <is>
          <t>Trimestral</t>
        </is>
      </c>
      <c r="H144" s="8" t="inlineStr">
        <is>
          <t>Sim</t>
        </is>
      </c>
      <c r="I144" s="12" t="n">
        <v>30</v>
      </c>
      <c r="J144" s="8" t="inlineStr">
        <is>
          <t>Sim</t>
        </is>
      </c>
      <c r="K144" s="12" t="n">
        <v>20</v>
      </c>
      <c r="L144" s="12" t="n">
        <v>20</v>
      </c>
      <c r="M144" s="12" t="n">
        <v>45</v>
      </c>
    </row>
    <row r="145" hidden="1" ht="16.5" customHeight="1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Sim</t>
        </is>
      </c>
      <c r="F145" s="12" t="n">
        <v>10</v>
      </c>
      <c r="G145" s="8" t="inlineStr">
        <is>
          <t>Trimestral</t>
        </is>
      </c>
      <c r="H145" s="8" t="inlineStr">
        <is>
          <t>Não</t>
        </is>
      </c>
      <c r="I145" s="12" t="inlineStr">
        <is>
          <t>-</t>
        </is>
      </c>
      <c r="J145" s="8" t="inlineStr">
        <is>
          <t>Sim</t>
        </is>
      </c>
      <c r="K145" s="12" t="n">
        <v>20</v>
      </c>
      <c r="L145" s="12" t="n">
        <v>12</v>
      </c>
      <c r="M145" s="12" t="n">
        <v>18</v>
      </c>
    </row>
    <row r="146" hidden="1" ht="16.5" customHeight="1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Não</t>
        </is>
      </c>
      <c r="F146" s="12" t="n">
        <v>5</v>
      </c>
      <c r="G146" s="8" t="inlineStr">
        <is>
          <t>Mensal</t>
        </is>
      </c>
      <c r="H146" s="8" t="inlineStr">
        <is>
          <t>Não</t>
        </is>
      </c>
      <c r="I146" s="12" t="inlineStr">
        <is>
          <t>-</t>
        </is>
      </c>
      <c r="J146" s="8" t="inlineStr">
        <is>
          <t>Não</t>
        </is>
      </c>
      <c r="K146" s="12" t="n">
        <v>0</v>
      </c>
      <c r="L146" s="12" t="n">
        <v>2</v>
      </c>
      <c r="M146" s="12" t="n">
        <v>3</v>
      </c>
    </row>
    <row r="147" ht="16.5" customHeight="1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Sim</t>
        </is>
      </c>
      <c r="F147" s="12" t="n">
        <v>15</v>
      </c>
      <c r="G147" s="8" t="inlineStr">
        <is>
          <t>Anual</t>
        </is>
      </c>
      <c r="H147" s="8" t="inlineStr">
        <is>
          <t>Sim</t>
        </is>
      </c>
      <c r="I147" s="12" t="n">
        <v>30</v>
      </c>
      <c r="J147" s="8" t="inlineStr">
        <is>
          <t>Sim</t>
        </is>
      </c>
      <c r="K147" s="12" t="n">
        <v>20</v>
      </c>
      <c r="L147" s="12" t="n">
        <v>5</v>
      </c>
      <c r="M147" s="12" t="n">
        <v>60</v>
      </c>
    </row>
    <row r="148" hidden="1" ht="16.5" customHeight="1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Não</t>
        </is>
      </c>
      <c r="F148" s="12" t="n">
        <v>10</v>
      </c>
      <c r="G148" s="8" t="inlineStr">
        <is>
          <t>Mensal</t>
        </is>
      </c>
      <c r="H148" s="8" t="inlineStr">
        <is>
          <t>Não</t>
        </is>
      </c>
      <c r="I148" s="12" t="inlineStr">
        <is>
          <t>-</t>
        </is>
      </c>
      <c r="J148" s="8" t="inlineStr">
        <is>
          <t>Sim</t>
        </is>
      </c>
      <c r="K148" s="12" t="n">
        <v>20</v>
      </c>
      <c r="L148" s="12" t="n">
        <v>10</v>
      </c>
      <c r="M148" s="12" t="n">
        <v>20</v>
      </c>
    </row>
    <row r="149" hidden="1" ht="16.5" customHeight="1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Sim</t>
        </is>
      </c>
      <c r="F149" s="12" t="n">
        <v>5</v>
      </c>
      <c r="G149" s="8" t="inlineStr">
        <is>
          <t>Trimestral</t>
        </is>
      </c>
      <c r="H149" s="8" t="inlineStr">
        <is>
          <t>Não</t>
        </is>
      </c>
      <c r="I149" s="12" t="inlineStr">
        <is>
          <t>-</t>
        </is>
      </c>
      <c r="J149" s="8" t="inlineStr">
        <is>
          <t>Não</t>
        </is>
      </c>
      <c r="K149" s="12" t="n">
        <v>0</v>
      </c>
      <c r="L149" s="12" t="n">
        <v>0</v>
      </c>
      <c r="M149" s="12" t="n">
        <v>5</v>
      </c>
    </row>
    <row r="150" ht="16.5" customHeight="1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Não</t>
        </is>
      </c>
      <c r="F150" s="12" t="n">
        <v>15</v>
      </c>
      <c r="G150" s="8" t="inlineStr">
        <is>
          <t>Mensal</t>
        </is>
      </c>
      <c r="H150" s="8" t="inlineStr">
        <is>
          <t>Sim</t>
        </is>
      </c>
      <c r="I150" s="12" t="n">
        <v>30</v>
      </c>
      <c r="J150" s="8" t="inlineStr">
        <is>
          <t>Sim</t>
        </is>
      </c>
      <c r="K150" s="12" t="n">
        <v>20</v>
      </c>
      <c r="L150" s="12" t="n">
        <v>3</v>
      </c>
      <c r="M150" s="12" t="n">
        <v>62</v>
      </c>
    </row>
    <row r="151" hidden="1" ht="16.5" customHeight="1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Sim</t>
        </is>
      </c>
      <c r="F151" s="12" t="n">
        <v>10</v>
      </c>
      <c r="G151" s="8" t="inlineStr">
        <is>
          <t>Anual</t>
        </is>
      </c>
      <c r="H151" s="8" t="inlineStr">
        <is>
          <t>Não</t>
        </is>
      </c>
      <c r="I151" s="12" t="inlineStr">
        <is>
          <t>-</t>
        </is>
      </c>
      <c r="J151" s="8" t="inlineStr">
        <is>
          <t>Sim</t>
        </is>
      </c>
      <c r="K151" s="12" t="n">
        <v>20</v>
      </c>
      <c r="L151" s="12" t="n">
        <v>15</v>
      </c>
      <c r="M151" s="12" t="n">
        <v>15</v>
      </c>
    </row>
    <row r="152" hidden="1" ht="16.5" customHeight="1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Não</t>
        </is>
      </c>
      <c r="F152" s="12" t="n">
        <v>5</v>
      </c>
      <c r="G152" s="8" t="inlineStr">
        <is>
          <t>Mensal</t>
        </is>
      </c>
      <c r="H152" s="8" t="inlineStr">
        <is>
          <t>Não</t>
        </is>
      </c>
      <c r="I152" s="12" t="inlineStr">
        <is>
          <t>-</t>
        </is>
      </c>
      <c r="J152" s="8" t="inlineStr">
        <is>
          <t>Não</t>
        </is>
      </c>
      <c r="K152" s="12" t="n">
        <v>0</v>
      </c>
      <c r="L152" s="12" t="n">
        <v>1</v>
      </c>
      <c r="M152" s="12" t="n">
        <v>4</v>
      </c>
    </row>
    <row r="153" ht="16.5" customHeight="1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Sim</t>
        </is>
      </c>
      <c r="F153" s="12" t="n">
        <v>15</v>
      </c>
      <c r="G153" s="8" t="inlineStr">
        <is>
          <t>Trimestral</t>
        </is>
      </c>
      <c r="H153" s="8" t="inlineStr">
        <is>
          <t>Sim</t>
        </is>
      </c>
      <c r="I153" s="12" t="n">
        <v>30</v>
      </c>
      <c r="J153" s="8" t="inlineStr">
        <is>
          <t>Sim</t>
        </is>
      </c>
      <c r="K153" s="12" t="n">
        <v>20</v>
      </c>
      <c r="L153" s="12" t="n">
        <v>7</v>
      </c>
      <c r="M153" s="12" t="n">
        <v>58</v>
      </c>
    </row>
    <row r="154" hidden="1" ht="16.5" customHeight="1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Não</t>
        </is>
      </c>
      <c r="F154" s="12" t="n">
        <v>10</v>
      </c>
      <c r="G154" s="8" t="inlineStr">
        <is>
          <t>Mensal</t>
        </is>
      </c>
      <c r="H154" s="8" t="inlineStr">
        <is>
          <t>Não</t>
        </is>
      </c>
      <c r="I154" s="12" t="inlineStr">
        <is>
          <t>-</t>
        </is>
      </c>
      <c r="J154" s="8" t="inlineStr">
        <is>
          <t>Sim</t>
        </is>
      </c>
      <c r="K154" s="12" t="n">
        <v>20</v>
      </c>
      <c r="L154" s="12" t="n">
        <v>10</v>
      </c>
      <c r="M154" s="12" t="n">
        <v>20</v>
      </c>
    </row>
    <row r="155" hidden="1" ht="16.5" customHeight="1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Sim</t>
        </is>
      </c>
      <c r="F155" s="12" t="n">
        <v>5</v>
      </c>
      <c r="G155" s="8" t="inlineStr">
        <is>
          <t>Anual</t>
        </is>
      </c>
      <c r="H155" s="8" t="inlineStr">
        <is>
          <t>Não</t>
        </is>
      </c>
      <c r="I155" s="12" t="inlineStr">
        <is>
          <t>-</t>
        </is>
      </c>
      <c r="J155" s="8" t="inlineStr">
        <is>
          <t>Não</t>
        </is>
      </c>
      <c r="K155" s="12" t="n">
        <v>0</v>
      </c>
      <c r="L155" s="12" t="n">
        <v>0</v>
      </c>
      <c r="M155" s="12" t="n">
        <v>5</v>
      </c>
    </row>
    <row r="156" ht="16.5" customHeight="1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Não</t>
        </is>
      </c>
      <c r="F156" s="12" t="n">
        <v>15</v>
      </c>
      <c r="G156" s="8" t="inlineStr">
        <is>
          <t>Mensal</t>
        </is>
      </c>
      <c r="H156" s="8" t="inlineStr">
        <is>
          <t>Sim</t>
        </is>
      </c>
      <c r="I156" s="12" t="n">
        <v>30</v>
      </c>
      <c r="J156" s="8" t="inlineStr">
        <is>
          <t>Sim</t>
        </is>
      </c>
      <c r="K156" s="12" t="n">
        <v>20</v>
      </c>
      <c r="L156" s="12" t="n">
        <v>20</v>
      </c>
      <c r="M156" s="12" t="n">
        <v>45</v>
      </c>
    </row>
    <row r="157" hidden="1" ht="16.5" customHeight="1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Sim</t>
        </is>
      </c>
      <c r="F157" s="12" t="n">
        <v>10</v>
      </c>
      <c r="G157" s="8" t="inlineStr">
        <is>
          <t>Trimestral</t>
        </is>
      </c>
      <c r="H157" s="8" t="inlineStr">
        <is>
          <t>Não</t>
        </is>
      </c>
      <c r="I157" s="12" t="inlineStr">
        <is>
          <t>-</t>
        </is>
      </c>
      <c r="J157" s="8" t="inlineStr">
        <is>
          <t>Sim</t>
        </is>
      </c>
      <c r="K157" s="12" t="n">
        <v>20</v>
      </c>
      <c r="L157" s="12" t="n">
        <v>15</v>
      </c>
      <c r="M157" s="12" t="n">
        <v>15</v>
      </c>
    </row>
    <row r="158" hidden="1" ht="16.5" customHeight="1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Não</t>
        </is>
      </c>
      <c r="F158" s="12" t="n">
        <v>5</v>
      </c>
      <c r="G158" s="8" t="inlineStr">
        <is>
          <t>Mensal</t>
        </is>
      </c>
      <c r="H158" s="8" t="inlineStr">
        <is>
          <t>Não</t>
        </is>
      </c>
      <c r="I158" s="12" t="inlineStr">
        <is>
          <t>-</t>
        </is>
      </c>
      <c r="J158" s="8" t="inlineStr">
        <is>
          <t>Não</t>
        </is>
      </c>
      <c r="K158" s="12" t="n">
        <v>0</v>
      </c>
      <c r="L158" s="12" t="n">
        <v>1</v>
      </c>
      <c r="M158" s="12" t="n">
        <v>4</v>
      </c>
    </row>
    <row r="159" ht="16.5" customHeight="1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Sim</t>
        </is>
      </c>
      <c r="F159" s="12" t="n">
        <v>15</v>
      </c>
      <c r="G159" s="8" t="inlineStr">
        <is>
          <t>Anual</t>
        </is>
      </c>
      <c r="H159" s="8" t="inlineStr">
        <is>
          <t>Sim</t>
        </is>
      </c>
      <c r="I159" s="12" t="n">
        <v>30</v>
      </c>
      <c r="J159" s="8" t="inlineStr">
        <is>
          <t>Sim</t>
        </is>
      </c>
      <c r="K159" s="12" t="n">
        <v>20</v>
      </c>
      <c r="L159" s="12" t="n">
        <v>3</v>
      </c>
      <c r="M159" s="12" t="n">
        <v>62</v>
      </c>
    </row>
    <row r="160" hidden="1" ht="16.5" customHeight="1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Não</t>
        </is>
      </c>
      <c r="F160" s="12" t="n">
        <v>10</v>
      </c>
      <c r="G160" s="8" t="inlineStr">
        <is>
          <t>Mensal</t>
        </is>
      </c>
      <c r="H160" s="8" t="inlineStr">
        <is>
          <t>Não</t>
        </is>
      </c>
      <c r="I160" s="12" t="inlineStr">
        <is>
          <t>-</t>
        </is>
      </c>
      <c r="J160" s="8" t="inlineStr">
        <is>
          <t>Sim</t>
        </is>
      </c>
      <c r="K160" s="12" t="n">
        <v>20</v>
      </c>
      <c r="L160" s="12" t="n">
        <v>10</v>
      </c>
      <c r="M160" s="12" t="n">
        <v>20</v>
      </c>
    </row>
    <row r="161" hidden="1" ht="16.5" customHeight="1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Sim</t>
        </is>
      </c>
      <c r="F161" s="12" t="n">
        <v>5</v>
      </c>
      <c r="G161" s="8" t="inlineStr">
        <is>
          <t>Trimestral</t>
        </is>
      </c>
      <c r="H161" s="8" t="inlineStr">
        <is>
          <t>Não</t>
        </is>
      </c>
      <c r="I161" s="12" t="inlineStr">
        <is>
          <t>-</t>
        </is>
      </c>
      <c r="J161" s="8" t="inlineStr">
        <is>
          <t>Não</t>
        </is>
      </c>
      <c r="K161" s="12" t="n">
        <v>0</v>
      </c>
      <c r="L161" s="12" t="n">
        <v>0</v>
      </c>
      <c r="M161" s="12" t="n">
        <v>5</v>
      </c>
    </row>
    <row r="162" ht="16.5" customHeight="1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Não</t>
        </is>
      </c>
      <c r="F162" s="12" t="n">
        <v>15</v>
      </c>
      <c r="G162" s="8" t="inlineStr">
        <is>
          <t>Mensal</t>
        </is>
      </c>
      <c r="H162" s="8" t="inlineStr">
        <is>
          <t>Sim</t>
        </is>
      </c>
      <c r="I162" s="12" t="n">
        <v>30</v>
      </c>
      <c r="J162" s="8" t="inlineStr">
        <is>
          <t>Sim</t>
        </is>
      </c>
      <c r="K162" s="12" t="n">
        <v>20</v>
      </c>
      <c r="L162" s="12" t="n">
        <v>15</v>
      </c>
      <c r="M162" s="12" t="n">
        <v>50</v>
      </c>
    </row>
    <row r="163" hidden="1" ht="16.5" customHeight="1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Sim</t>
        </is>
      </c>
      <c r="F163" s="12" t="n">
        <v>10</v>
      </c>
      <c r="G163" s="8" t="inlineStr">
        <is>
          <t>Anual</t>
        </is>
      </c>
      <c r="H163" s="8" t="inlineStr">
        <is>
          <t>Não</t>
        </is>
      </c>
      <c r="I163" s="12" t="inlineStr">
        <is>
          <t>-</t>
        </is>
      </c>
      <c r="J163" s="8" t="inlineStr">
        <is>
          <t>Sim</t>
        </is>
      </c>
      <c r="K163" s="12" t="n">
        <v>20</v>
      </c>
      <c r="L163" s="12" t="n">
        <v>15</v>
      </c>
      <c r="M163" s="12" t="n">
        <v>15</v>
      </c>
    </row>
    <row r="164" hidden="1" ht="16.5" customHeight="1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Não</t>
        </is>
      </c>
      <c r="F164" s="12" t="n">
        <v>5</v>
      </c>
      <c r="G164" s="8" t="inlineStr">
        <is>
          <t>Mensal</t>
        </is>
      </c>
      <c r="H164" s="8" t="inlineStr">
        <is>
          <t>Não</t>
        </is>
      </c>
      <c r="I164" s="12" t="inlineStr">
        <is>
          <t>-</t>
        </is>
      </c>
      <c r="J164" s="8" t="inlineStr">
        <is>
          <t>Não</t>
        </is>
      </c>
      <c r="K164" s="12" t="n">
        <v>0</v>
      </c>
      <c r="L164" s="12" t="n">
        <v>1</v>
      </c>
      <c r="M164" s="12" t="n">
        <v>4</v>
      </c>
    </row>
    <row r="165" ht="16.5" customHeight="1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Sim</t>
        </is>
      </c>
      <c r="F165" s="12" t="n">
        <v>15</v>
      </c>
      <c r="G165" s="8" t="inlineStr">
        <is>
          <t>Trimestral</t>
        </is>
      </c>
      <c r="H165" s="8" t="inlineStr">
        <is>
          <t>Sim</t>
        </is>
      </c>
      <c r="I165" s="12" t="n">
        <v>30</v>
      </c>
      <c r="J165" s="8" t="inlineStr">
        <is>
          <t>Sim</t>
        </is>
      </c>
      <c r="K165" s="12" t="n">
        <v>20</v>
      </c>
      <c r="L165" s="12" t="n">
        <v>7</v>
      </c>
      <c r="M165" s="12" t="n">
        <v>58</v>
      </c>
    </row>
    <row r="166" hidden="1" ht="16.5" customHeight="1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Não</t>
        </is>
      </c>
      <c r="F166" s="12" t="n">
        <v>10</v>
      </c>
      <c r="G166" s="8" t="inlineStr">
        <is>
          <t>Mensal</t>
        </is>
      </c>
      <c r="H166" s="8" t="inlineStr">
        <is>
          <t>Não</t>
        </is>
      </c>
      <c r="I166" s="12" t="inlineStr">
        <is>
          <t>-</t>
        </is>
      </c>
      <c r="J166" s="8" t="inlineStr">
        <is>
          <t>Sim</t>
        </is>
      </c>
      <c r="K166" s="12" t="n">
        <v>20</v>
      </c>
      <c r="L166" s="12" t="n">
        <v>10</v>
      </c>
      <c r="M166" s="12" t="n">
        <v>20</v>
      </c>
    </row>
    <row r="167" hidden="1" ht="16.5" customHeight="1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Sim</t>
        </is>
      </c>
      <c r="F167" s="12" t="n">
        <v>5</v>
      </c>
      <c r="G167" s="8" t="inlineStr">
        <is>
          <t>Anual</t>
        </is>
      </c>
      <c r="H167" s="8" t="inlineStr">
        <is>
          <t>Não</t>
        </is>
      </c>
      <c r="I167" s="12" t="inlineStr">
        <is>
          <t>-</t>
        </is>
      </c>
      <c r="J167" s="8" t="inlineStr">
        <is>
          <t>Não</t>
        </is>
      </c>
      <c r="K167" s="12" t="n">
        <v>0</v>
      </c>
      <c r="L167" s="12" t="n">
        <v>0</v>
      </c>
      <c r="M167" s="12" t="n">
        <v>5</v>
      </c>
    </row>
    <row r="168" ht="16.5" customHeight="1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Não</t>
        </is>
      </c>
      <c r="F168" s="12" t="n">
        <v>15</v>
      </c>
      <c r="G168" s="8" t="inlineStr">
        <is>
          <t>Mensal</t>
        </is>
      </c>
      <c r="H168" s="8" t="inlineStr">
        <is>
          <t>Sim</t>
        </is>
      </c>
      <c r="I168" s="12" t="n">
        <v>30</v>
      </c>
      <c r="J168" s="8" t="inlineStr">
        <is>
          <t>Sim</t>
        </is>
      </c>
      <c r="K168" s="12" t="n">
        <v>20</v>
      </c>
      <c r="L168" s="12" t="n">
        <v>20</v>
      </c>
      <c r="M168" s="12" t="n">
        <v>45</v>
      </c>
    </row>
    <row r="169" hidden="1" ht="16.5" customHeight="1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Sim</t>
        </is>
      </c>
      <c r="F169" s="12" t="n">
        <v>10</v>
      </c>
      <c r="G169" s="8" t="inlineStr">
        <is>
          <t>Trimestral</t>
        </is>
      </c>
      <c r="H169" s="8" t="inlineStr">
        <is>
          <t>Não</t>
        </is>
      </c>
      <c r="I169" s="12" t="inlineStr">
        <is>
          <t>-</t>
        </is>
      </c>
      <c r="J169" s="8" t="inlineStr">
        <is>
          <t>Sim</t>
        </is>
      </c>
      <c r="K169" s="12" t="n">
        <v>20</v>
      </c>
      <c r="L169" s="12" t="n">
        <v>15</v>
      </c>
      <c r="M169" s="12" t="n">
        <v>15</v>
      </c>
    </row>
    <row r="170" hidden="1" ht="16.5" customHeight="1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Não</t>
        </is>
      </c>
      <c r="F170" s="12" t="n">
        <v>5</v>
      </c>
      <c r="G170" s="8" t="inlineStr">
        <is>
          <t>Mensal</t>
        </is>
      </c>
      <c r="H170" s="8" t="inlineStr">
        <is>
          <t>Não</t>
        </is>
      </c>
      <c r="I170" s="12" t="inlineStr">
        <is>
          <t>-</t>
        </is>
      </c>
      <c r="J170" s="8" t="inlineStr">
        <is>
          <t>Não</t>
        </is>
      </c>
      <c r="K170" s="12" t="n">
        <v>0</v>
      </c>
      <c r="L170" s="12" t="n">
        <v>1</v>
      </c>
      <c r="M170" s="12" t="n">
        <v>4</v>
      </c>
    </row>
    <row r="171" ht="16.5" customHeight="1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Sim</t>
        </is>
      </c>
      <c r="F171" s="12" t="n">
        <v>15</v>
      </c>
      <c r="G171" s="8" t="inlineStr">
        <is>
          <t>Anual</t>
        </is>
      </c>
      <c r="H171" s="8" t="inlineStr">
        <is>
          <t>Sim</t>
        </is>
      </c>
      <c r="I171" s="12" t="n">
        <v>30</v>
      </c>
      <c r="J171" s="8" t="inlineStr">
        <is>
          <t>Sim</t>
        </is>
      </c>
      <c r="K171" s="12" t="n">
        <v>20</v>
      </c>
      <c r="L171" s="12" t="n">
        <v>5</v>
      </c>
      <c r="M171" s="12" t="n">
        <v>60</v>
      </c>
    </row>
    <row r="172" hidden="1" ht="16.5" customHeight="1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Não</t>
        </is>
      </c>
      <c r="F172" s="12" t="n">
        <v>10</v>
      </c>
      <c r="G172" s="8" t="inlineStr">
        <is>
          <t>Mensal</t>
        </is>
      </c>
      <c r="H172" s="8" t="inlineStr">
        <is>
          <t>Não</t>
        </is>
      </c>
      <c r="I172" s="12" t="inlineStr">
        <is>
          <t>-</t>
        </is>
      </c>
      <c r="J172" s="8" t="inlineStr">
        <is>
          <t>Sim</t>
        </is>
      </c>
      <c r="K172" s="12" t="n">
        <v>20</v>
      </c>
      <c r="L172" s="12" t="n">
        <v>10</v>
      </c>
      <c r="M172" s="12" t="n">
        <v>20</v>
      </c>
    </row>
    <row r="173" hidden="1" ht="16.5" customHeight="1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Sim</t>
        </is>
      </c>
      <c r="F173" s="12" t="n">
        <v>5</v>
      </c>
      <c r="G173" s="8" t="inlineStr">
        <is>
          <t>Trimestral</t>
        </is>
      </c>
      <c r="H173" s="8" t="inlineStr">
        <is>
          <t>Não</t>
        </is>
      </c>
      <c r="I173" s="12" t="inlineStr">
        <is>
          <t>-</t>
        </is>
      </c>
      <c r="J173" s="8" t="inlineStr">
        <is>
          <t>Não</t>
        </is>
      </c>
      <c r="K173" s="12" t="n">
        <v>0</v>
      </c>
      <c r="L173" s="12" t="n">
        <v>0</v>
      </c>
      <c r="M173" s="12" t="n">
        <v>5</v>
      </c>
    </row>
    <row r="174" ht="16.5" customHeight="1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Não</t>
        </is>
      </c>
      <c r="F174" s="12" t="n">
        <v>15</v>
      </c>
      <c r="G174" s="8" t="inlineStr">
        <is>
          <t>Mensal</t>
        </is>
      </c>
      <c r="H174" s="8" t="inlineStr">
        <is>
          <t>Sim</t>
        </is>
      </c>
      <c r="I174" s="12" t="n">
        <v>30</v>
      </c>
      <c r="J174" s="8" t="inlineStr">
        <is>
          <t>Sim</t>
        </is>
      </c>
      <c r="K174" s="12" t="n">
        <v>20</v>
      </c>
      <c r="L174" s="12" t="n">
        <v>3</v>
      </c>
      <c r="M174" s="12" t="n">
        <v>62</v>
      </c>
    </row>
    <row r="175" hidden="1" ht="16.5" customHeight="1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Sim</t>
        </is>
      </c>
      <c r="F175" s="12" t="n">
        <v>10</v>
      </c>
      <c r="G175" s="8" t="inlineStr">
        <is>
          <t>Anual</t>
        </is>
      </c>
      <c r="H175" s="8" t="inlineStr">
        <is>
          <t>Não</t>
        </is>
      </c>
      <c r="I175" s="12" t="inlineStr">
        <is>
          <t>-</t>
        </is>
      </c>
      <c r="J175" s="8" t="inlineStr">
        <is>
          <t>Sim</t>
        </is>
      </c>
      <c r="K175" s="12" t="n">
        <v>20</v>
      </c>
      <c r="L175" s="12" t="n">
        <v>15</v>
      </c>
      <c r="M175" s="12" t="n">
        <v>15</v>
      </c>
    </row>
    <row r="176" hidden="1" ht="16.5" customHeight="1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Não</t>
        </is>
      </c>
      <c r="F176" s="12" t="n">
        <v>5</v>
      </c>
      <c r="G176" s="8" t="inlineStr">
        <is>
          <t>Mensal</t>
        </is>
      </c>
      <c r="H176" s="8" t="inlineStr">
        <is>
          <t>Não</t>
        </is>
      </c>
      <c r="I176" s="12" t="inlineStr">
        <is>
          <t>-</t>
        </is>
      </c>
      <c r="J176" s="8" t="inlineStr">
        <is>
          <t>Não</t>
        </is>
      </c>
      <c r="K176" s="12" t="n">
        <v>0</v>
      </c>
      <c r="L176" s="12" t="n">
        <v>1</v>
      </c>
      <c r="M176" s="12" t="n">
        <v>4</v>
      </c>
    </row>
    <row r="177" hidden="1" ht="16.5" customHeight="1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Sim</t>
        </is>
      </c>
      <c r="F177" s="12" t="n">
        <v>5</v>
      </c>
      <c r="G177" s="8" t="inlineStr">
        <is>
          <t>Mensal</t>
        </is>
      </c>
      <c r="H177" s="8" t="inlineStr">
        <is>
          <t>Não</t>
        </is>
      </c>
      <c r="I177" s="12" t="inlineStr">
        <is>
          <t>-</t>
        </is>
      </c>
      <c r="J177" s="8" t="inlineStr">
        <is>
          <t>Não</t>
        </is>
      </c>
      <c r="K177" s="12" t="n">
        <v>0</v>
      </c>
      <c r="L177" s="12" t="n">
        <v>0</v>
      </c>
      <c r="M177" s="12" t="n">
        <v>5</v>
      </c>
    </row>
    <row r="178" ht="16.5" customHeight="1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Não</t>
        </is>
      </c>
      <c r="F178" s="12" t="n">
        <v>15</v>
      </c>
      <c r="G178" s="8" t="inlineStr">
        <is>
          <t>Trimestral</t>
        </is>
      </c>
      <c r="H178" s="8" t="inlineStr">
        <is>
          <t>Sim</t>
        </is>
      </c>
      <c r="I178" s="12" t="n">
        <v>30</v>
      </c>
      <c r="J178" s="8" t="inlineStr">
        <is>
          <t>Sim</t>
        </is>
      </c>
      <c r="K178" s="12" t="n">
        <v>20</v>
      </c>
      <c r="L178" s="12" t="n">
        <v>7</v>
      </c>
      <c r="M178" s="12" t="n">
        <v>58</v>
      </c>
    </row>
    <row r="179" hidden="1" ht="16.5" customHeight="1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Sim</t>
        </is>
      </c>
      <c r="F179" s="12" t="n">
        <v>10</v>
      </c>
      <c r="G179" s="8" t="inlineStr">
        <is>
          <t>Anual</t>
        </is>
      </c>
      <c r="H179" s="8" t="inlineStr">
        <is>
          <t>Não</t>
        </is>
      </c>
      <c r="I179" s="12" t="inlineStr">
        <is>
          <t>-</t>
        </is>
      </c>
      <c r="J179" s="8" t="inlineStr">
        <is>
          <t>Sim</t>
        </is>
      </c>
      <c r="K179" s="12" t="n">
        <v>20</v>
      </c>
      <c r="L179" s="12" t="n">
        <v>10</v>
      </c>
      <c r="M179" s="12" t="n">
        <v>20</v>
      </c>
    </row>
    <row r="180" hidden="1" ht="16.5" customHeight="1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Não</t>
        </is>
      </c>
      <c r="F180" s="12" t="n">
        <v>5</v>
      </c>
      <c r="G180" s="8" t="inlineStr">
        <is>
          <t>Trimestral</t>
        </is>
      </c>
      <c r="H180" s="8" t="inlineStr">
        <is>
          <t>Não</t>
        </is>
      </c>
      <c r="I180" s="12" t="inlineStr">
        <is>
          <t>-</t>
        </is>
      </c>
      <c r="J180" s="8" t="inlineStr">
        <is>
          <t>Não</t>
        </is>
      </c>
      <c r="K180" s="12" t="n">
        <v>0</v>
      </c>
      <c r="L180" s="12" t="n">
        <v>1</v>
      </c>
      <c r="M180" s="12" t="n">
        <v>4</v>
      </c>
    </row>
    <row r="181" ht="16.5" customHeight="1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Sim</t>
        </is>
      </c>
      <c r="F181" s="12" t="n">
        <v>15</v>
      </c>
      <c r="G181" s="8" t="inlineStr">
        <is>
          <t>Mensal</t>
        </is>
      </c>
      <c r="H181" s="8" t="inlineStr">
        <is>
          <t>Sim</t>
        </is>
      </c>
      <c r="I181" s="12" t="n">
        <v>30</v>
      </c>
      <c r="J181" s="8" t="inlineStr">
        <is>
          <t>Sim</t>
        </is>
      </c>
      <c r="K181" s="12" t="n">
        <v>20</v>
      </c>
      <c r="L181" s="12" t="n">
        <v>15</v>
      </c>
      <c r="M181" s="12" t="n">
        <v>50</v>
      </c>
    </row>
    <row r="182" hidden="1" ht="16.5" customHeight="1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Não</t>
        </is>
      </c>
      <c r="F182" s="12" t="n">
        <v>10</v>
      </c>
      <c r="G182" s="8" t="inlineStr">
        <is>
          <t>Mensal</t>
        </is>
      </c>
      <c r="H182" s="8" t="inlineStr">
        <is>
          <t>Não</t>
        </is>
      </c>
      <c r="I182" s="12" t="inlineStr">
        <is>
          <t>-</t>
        </is>
      </c>
      <c r="J182" s="8" t="inlineStr">
        <is>
          <t>Sim</t>
        </is>
      </c>
      <c r="K182" s="12" t="n">
        <v>20</v>
      </c>
      <c r="L182" s="12" t="n">
        <v>5</v>
      </c>
      <c r="M182" s="12" t="n">
        <v>25</v>
      </c>
    </row>
    <row r="183" hidden="1" ht="16.5" customHeight="1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Sim</t>
        </is>
      </c>
      <c r="F183" s="12" t="n">
        <v>5</v>
      </c>
      <c r="G183" s="8" t="inlineStr">
        <is>
          <t>Anual</t>
        </is>
      </c>
      <c r="H183" s="8" t="inlineStr">
        <is>
          <t>Não</t>
        </is>
      </c>
      <c r="I183" s="12" t="inlineStr">
        <is>
          <t>-</t>
        </is>
      </c>
      <c r="J183" s="8" t="inlineStr">
        <is>
          <t>Não</t>
        </is>
      </c>
      <c r="K183" s="12" t="n">
        <v>0</v>
      </c>
      <c r="L183" s="12" t="n">
        <v>0</v>
      </c>
      <c r="M183" s="12" t="n">
        <v>5</v>
      </c>
    </row>
    <row r="184" ht="16.5" customHeight="1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Não</t>
        </is>
      </c>
      <c r="F184" s="12" t="n">
        <v>15</v>
      </c>
      <c r="G184" s="8" t="inlineStr">
        <is>
          <t>Trimestral</t>
        </is>
      </c>
      <c r="H184" s="8" t="inlineStr">
        <is>
          <t>Sim</t>
        </is>
      </c>
      <c r="I184" s="12" t="n">
        <v>30</v>
      </c>
      <c r="J184" s="8" t="inlineStr">
        <is>
          <t>Sim</t>
        </is>
      </c>
      <c r="K184" s="12" t="n">
        <v>20</v>
      </c>
      <c r="L184" s="12" t="n">
        <v>20</v>
      </c>
      <c r="M184" s="12" t="n">
        <v>45</v>
      </c>
    </row>
    <row r="185" hidden="1" ht="16.5" customHeight="1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Sim</t>
        </is>
      </c>
      <c r="F185" s="12" t="n">
        <v>10</v>
      </c>
      <c r="G185" s="8" t="inlineStr">
        <is>
          <t>Trimestral</t>
        </is>
      </c>
      <c r="H185" s="8" t="inlineStr">
        <is>
          <t>Não</t>
        </is>
      </c>
      <c r="I185" s="12" t="inlineStr">
        <is>
          <t>-</t>
        </is>
      </c>
      <c r="J185" s="8" t="inlineStr">
        <is>
          <t>Sim</t>
        </is>
      </c>
      <c r="K185" s="12" t="n">
        <v>20</v>
      </c>
      <c r="L185" s="12" t="n">
        <v>12</v>
      </c>
      <c r="M185" s="12" t="n">
        <v>18</v>
      </c>
    </row>
    <row r="186" hidden="1" ht="16.5" customHeight="1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Não</t>
        </is>
      </c>
      <c r="F186" s="12" t="n">
        <v>5</v>
      </c>
      <c r="G186" s="8" t="inlineStr">
        <is>
          <t>Mensal</t>
        </is>
      </c>
      <c r="H186" s="8" t="inlineStr">
        <is>
          <t>Não</t>
        </is>
      </c>
      <c r="I186" s="12" t="inlineStr">
        <is>
          <t>-</t>
        </is>
      </c>
      <c r="J186" s="8" t="inlineStr">
        <is>
          <t>Não</t>
        </is>
      </c>
      <c r="K186" s="12" t="n">
        <v>0</v>
      </c>
      <c r="L186" s="12" t="n">
        <v>2</v>
      </c>
      <c r="M186" s="12" t="n">
        <v>3</v>
      </c>
    </row>
    <row r="187" ht="16.5" customHeight="1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Sim</t>
        </is>
      </c>
      <c r="F187" s="12" t="n">
        <v>15</v>
      </c>
      <c r="G187" s="8" t="inlineStr">
        <is>
          <t>Anual</t>
        </is>
      </c>
      <c r="H187" s="8" t="inlineStr">
        <is>
          <t>Sim</t>
        </is>
      </c>
      <c r="I187" s="12" t="n">
        <v>30</v>
      </c>
      <c r="J187" s="8" t="inlineStr">
        <is>
          <t>Sim</t>
        </is>
      </c>
      <c r="K187" s="12" t="n">
        <v>20</v>
      </c>
      <c r="L187" s="12" t="n">
        <v>5</v>
      </c>
      <c r="M187" s="12" t="n">
        <v>60</v>
      </c>
    </row>
    <row r="188" hidden="1" ht="16.5" customHeight="1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Não</t>
        </is>
      </c>
      <c r="F188" s="12" t="n">
        <v>10</v>
      </c>
      <c r="G188" s="8" t="inlineStr">
        <is>
          <t>Mensal</t>
        </is>
      </c>
      <c r="H188" s="8" t="inlineStr">
        <is>
          <t>Não</t>
        </is>
      </c>
      <c r="I188" s="12" t="inlineStr">
        <is>
          <t>-</t>
        </is>
      </c>
      <c r="J188" s="8" t="inlineStr">
        <is>
          <t>Sim</t>
        </is>
      </c>
      <c r="K188" s="12" t="n">
        <v>20</v>
      </c>
      <c r="L188" s="12" t="n">
        <v>10</v>
      </c>
      <c r="M188" s="12" t="n">
        <v>20</v>
      </c>
    </row>
    <row r="189" hidden="1" ht="16.5" customHeight="1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Sim</t>
        </is>
      </c>
      <c r="F189" s="12" t="n">
        <v>5</v>
      </c>
      <c r="G189" s="8" t="inlineStr">
        <is>
          <t>Trimestral</t>
        </is>
      </c>
      <c r="H189" s="8" t="inlineStr">
        <is>
          <t>Não</t>
        </is>
      </c>
      <c r="I189" s="12" t="inlineStr">
        <is>
          <t>-</t>
        </is>
      </c>
      <c r="J189" s="8" t="inlineStr">
        <is>
          <t>Não</t>
        </is>
      </c>
      <c r="K189" s="12" t="n">
        <v>0</v>
      </c>
      <c r="L189" s="12" t="n">
        <v>0</v>
      </c>
      <c r="M189" s="12" t="n">
        <v>5</v>
      </c>
    </row>
    <row r="190" ht="16.5" customHeight="1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Não</t>
        </is>
      </c>
      <c r="F190" s="12" t="n">
        <v>15</v>
      </c>
      <c r="G190" s="8" t="inlineStr">
        <is>
          <t>Mensal</t>
        </is>
      </c>
      <c r="H190" s="8" t="inlineStr">
        <is>
          <t>Sim</t>
        </is>
      </c>
      <c r="I190" s="12" t="n">
        <v>30</v>
      </c>
      <c r="J190" s="8" t="inlineStr">
        <is>
          <t>Sim</t>
        </is>
      </c>
      <c r="K190" s="12" t="n">
        <v>20</v>
      </c>
      <c r="L190" s="12" t="n">
        <v>3</v>
      </c>
      <c r="M190" s="12" t="n">
        <v>62</v>
      </c>
    </row>
    <row r="191" hidden="1" ht="16.5" customHeight="1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Sim</t>
        </is>
      </c>
      <c r="F191" s="12" t="n">
        <v>10</v>
      </c>
      <c r="G191" s="8" t="inlineStr">
        <is>
          <t>Anual</t>
        </is>
      </c>
      <c r="H191" s="8" t="inlineStr">
        <is>
          <t>Não</t>
        </is>
      </c>
      <c r="I191" s="12" t="inlineStr">
        <is>
          <t>-</t>
        </is>
      </c>
      <c r="J191" s="8" t="inlineStr">
        <is>
          <t>Sim</t>
        </is>
      </c>
      <c r="K191" s="12" t="n">
        <v>20</v>
      </c>
      <c r="L191" s="12" t="n">
        <v>15</v>
      </c>
      <c r="M191" s="12" t="n">
        <v>15</v>
      </c>
    </row>
    <row r="192" hidden="1" ht="16.5" customHeight="1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Não</t>
        </is>
      </c>
      <c r="F192" s="12" t="n">
        <v>5</v>
      </c>
      <c r="G192" s="8" t="inlineStr">
        <is>
          <t>Mensal</t>
        </is>
      </c>
      <c r="H192" s="8" t="inlineStr">
        <is>
          <t>Não</t>
        </is>
      </c>
      <c r="I192" s="12" t="inlineStr">
        <is>
          <t>-</t>
        </is>
      </c>
      <c r="J192" s="8" t="inlineStr">
        <is>
          <t>Não</t>
        </is>
      </c>
      <c r="K192" s="12" t="n">
        <v>0</v>
      </c>
      <c r="L192" s="12" t="n">
        <v>1</v>
      </c>
      <c r="M192" s="12" t="n">
        <v>4</v>
      </c>
    </row>
    <row r="193" ht="16.5" customHeight="1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Sim</t>
        </is>
      </c>
      <c r="F193" s="12" t="n">
        <v>15</v>
      </c>
      <c r="G193" s="8" t="inlineStr">
        <is>
          <t>Trimestral</t>
        </is>
      </c>
      <c r="H193" s="8" t="inlineStr">
        <is>
          <t>Sim</t>
        </is>
      </c>
      <c r="I193" s="12" t="n">
        <v>30</v>
      </c>
      <c r="J193" s="8" t="inlineStr">
        <is>
          <t>Sim</t>
        </is>
      </c>
      <c r="K193" s="12" t="n">
        <v>20</v>
      </c>
      <c r="L193" s="12" t="n">
        <v>7</v>
      </c>
      <c r="M193" s="12" t="n">
        <v>58</v>
      </c>
    </row>
    <row r="194" hidden="1" ht="16.5" customHeight="1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Não</t>
        </is>
      </c>
      <c r="F194" s="12" t="n">
        <v>10</v>
      </c>
      <c r="G194" s="8" t="inlineStr">
        <is>
          <t>Mensal</t>
        </is>
      </c>
      <c r="H194" s="8" t="inlineStr">
        <is>
          <t>Não</t>
        </is>
      </c>
      <c r="I194" s="12" t="inlineStr">
        <is>
          <t>-</t>
        </is>
      </c>
      <c r="J194" s="8" t="inlineStr">
        <is>
          <t>Sim</t>
        </is>
      </c>
      <c r="K194" s="12" t="n">
        <v>20</v>
      </c>
      <c r="L194" s="12" t="n">
        <v>10</v>
      </c>
      <c r="M194" s="12" t="n">
        <v>20</v>
      </c>
    </row>
    <row r="195" hidden="1" ht="16.5" customHeight="1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Sim</t>
        </is>
      </c>
      <c r="F195" s="12" t="n">
        <v>5</v>
      </c>
      <c r="G195" s="8" t="inlineStr">
        <is>
          <t>Anual</t>
        </is>
      </c>
      <c r="H195" s="8" t="inlineStr">
        <is>
          <t>Não</t>
        </is>
      </c>
      <c r="I195" s="12" t="inlineStr">
        <is>
          <t>-</t>
        </is>
      </c>
      <c r="J195" s="8" t="inlineStr">
        <is>
          <t>Não</t>
        </is>
      </c>
      <c r="K195" s="12" t="n">
        <v>0</v>
      </c>
      <c r="L195" s="12" t="n">
        <v>0</v>
      </c>
      <c r="M195" s="12" t="n">
        <v>5</v>
      </c>
    </row>
    <row r="196" ht="16.5" customHeight="1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Não</t>
        </is>
      </c>
      <c r="F196" s="12" t="n">
        <v>15</v>
      </c>
      <c r="G196" s="8" t="inlineStr">
        <is>
          <t>Mensal</t>
        </is>
      </c>
      <c r="H196" s="8" t="inlineStr">
        <is>
          <t>Sim</t>
        </is>
      </c>
      <c r="I196" s="12" t="n">
        <v>30</v>
      </c>
      <c r="J196" s="8" t="inlineStr">
        <is>
          <t>Sim</t>
        </is>
      </c>
      <c r="K196" s="12" t="n">
        <v>20</v>
      </c>
      <c r="L196" s="12" t="n">
        <v>20</v>
      </c>
      <c r="M196" s="12" t="n">
        <v>45</v>
      </c>
    </row>
    <row r="197" hidden="1" ht="16.5" customHeight="1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Sim</t>
        </is>
      </c>
      <c r="F197" s="12" t="n">
        <v>10</v>
      </c>
      <c r="G197" s="8" t="inlineStr">
        <is>
          <t>Trimestral</t>
        </is>
      </c>
      <c r="H197" s="8" t="inlineStr">
        <is>
          <t>Não</t>
        </is>
      </c>
      <c r="I197" s="12" t="inlineStr">
        <is>
          <t>-</t>
        </is>
      </c>
      <c r="J197" s="8" t="inlineStr">
        <is>
          <t>Sim</t>
        </is>
      </c>
      <c r="K197" s="12" t="n">
        <v>20</v>
      </c>
      <c r="L197" s="12" t="n">
        <v>15</v>
      </c>
      <c r="M197" s="12" t="n">
        <v>15</v>
      </c>
    </row>
    <row r="198" hidden="1" ht="16.5" customHeight="1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Não</t>
        </is>
      </c>
      <c r="F198" s="12" t="n">
        <v>5</v>
      </c>
      <c r="G198" s="8" t="inlineStr">
        <is>
          <t>Mensal</t>
        </is>
      </c>
      <c r="H198" s="8" t="inlineStr">
        <is>
          <t>Não</t>
        </is>
      </c>
      <c r="I198" s="12" t="inlineStr">
        <is>
          <t>-</t>
        </is>
      </c>
      <c r="J198" s="8" t="inlineStr">
        <is>
          <t>Não</t>
        </is>
      </c>
      <c r="K198" s="12" t="n">
        <v>0</v>
      </c>
      <c r="L198" s="12" t="n">
        <v>1</v>
      </c>
      <c r="M198" s="12" t="n">
        <v>4</v>
      </c>
    </row>
    <row r="199" ht="16.5" customHeight="1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Sim</t>
        </is>
      </c>
      <c r="F199" s="12" t="n">
        <v>15</v>
      </c>
      <c r="G199" s="8" t="inlineStr">
        <is>
          <t>Anual</t>
        </is>
      </c>
      <c r="H199" s="8" t="inlineStr">
        <is>
          <t>Sim</t>
        </is>
      </c>
      <c r="I199" s="12" t="n">
        <v>30</v>
      </c>
      <c r="J199" s="8" t="inlineStr">
        <is>
          <t>Sim</t>
        </is>
      </c>
      <c r="K199" s="12" t="n">
        <v>20</v>
      </c>
      <c r="L199" s="12" t="n">
        <v>3</v>
      </c>
      <c r="M199" s="12" t="n">
        <v>62</v>
      </c>
    </row>
    <row r="200" hidden="1" ht="16.5" customHeight="1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Não</t>
        </is>
      </c>
      <c r="F200" s="12" t="n">
        <v>10</v>
      </c>
      <c r="G200" s="8" t="inlineStr">
        <is>
          <t>Mensal</t>
        </is>
      </c>
      <c r="H200" s="8" t="inlineStr">
        <is>
          <t>Não</t>
        </is>
      </c>
      <c r="I200" s="12" t="inlineStr">
        <is>
          <t>-</t>
        </is>
      </c>
      <c r="J200" s="8" t="inlineStr">
        <is>
          <t>Sim</t>
        </is>
      </c>
      <c r="K200" s="12" t="n">
        <v>20</v>
      </c>
      <c r="L200" s="12" t="n">
        <v>10</v>
      </c>
      <c r="M200" s="12" t="n">
        <v>20</v>
      </c>
    </row>
    <row r="201" hidden="1" ht="16.5" customHeight="1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Sim</t>
        </is>
      </c>
      <c r="F201" s="12" t="n">
        <v>5</v>
      </c>
      <c r="G201" s="8" t="inlineStr">
        <is>
          <t>Trimestral</t>
        </is>
      </c>
      <c r="H201" s="8" t="inlineStr">
        <is>
          <t>Não</t>
        </is>
      </c>
      <c r="I201" s="12" t="inlineStr">
        <is>
          <t>-</t>
        </is>
      </c>
      <c r="J201" s="8" t="inlineStr">
        <is>
          <t>Não</t>
        </is>
      </c>
      <c r="K201" s="12" t="n">
        <v>0</v>
      </c>
      <c r="L201" s="12" t="n">
        <v>0</v>
      </c>
      <c r="M201" s="12" t="n">
        <v>5</v>
      </c>
    </row>
    <row r="202" ht="16.5" customHeight="1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Não</t>
        </is>
      </c>
      <c r="F202" s="12" t="n">
        <v>15</v>
      </c>
      <c r="G202" s="8" t="inlineStr">
        <is>
          <t>Mensal</t>
        </is>
      </c>
      <c r="H202" s="8" t="inlineStr">
        <is>
          <t>Sim</t>
        </is>
      </c>
      <c r="I202" s="12" t="n">
        <v>30</v>
      </c>
      <c r="J202" s="8" t="inlineStr">
        <is>
          <t>Sim</t>
        </is>
      </c>
      <c r="K202" s="12" t="n">
        <v>20</v>
      </c>
      <c r="L202" s="12" t="n">
        <v>15</v>
      </c>
      <c r="M202" s="12" t="n">
        <v>50</v>
      </c>
    </row>
    <row r="203" hidden="1" ht="16.5" customHeight="1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Sim</t>
        </is>
      </c>
      <c r="F203" s="12" t="n">
        <v>10</v>
      </c>
      <c r="G203" s="8" t="inlineStr">
        <is>
          <t>Anual</t>
        </is>
      </c>
      <c r="H203" s="8" t="inlineStr">
        <is>
          <t>Não</t>
        </is>
      </c>
      <c r="I203" s="12" t="inlineStr">
        <is>
          <t>-</t>
        </is>
      </c>
      <c r="J203" s="8" t="inlineStr">
        <is>
          <t>Sim</t>
        </is>
      </c>
      <c r="K203" s="12" t="n">
        <v>20</v>
      </c>
      <c r="L203" s="12" t="n">
        <v>15</v>
      </c>
      <c r="M203" s="12" t="n">
        <v>15</v>
      </c>
    </row>
    <row r="204" hidden="1" ht="16.5" customHeight="1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Não</t>
        </is>
      </c>
      <c r="F204" s="12" t="n">
        <v>5</v>
      </c>
      <c r="G204" s="8" t="inlineStr">
        <is>
          <t>Mensal</t>
        </is>
      </c>
      <c r="H204" s="8" t="inlineStr">
        <is>
          <t>Não</t>
        </is>
      </c>
      <c r="I204" s="12" t="inlineStr">
        <is>
          <t>-</t>
        </is>
      </c>
      <c r="J204" s="8" t="inlineStr">
        <is>
          <t>Não</t>
        </is>
      </c>
      <c r="K204" s="12" t="n">
        <v>0</v>
      </c>
      <c r="L204" s="12" t="n">
        <v>1</v>
      </c>
      <c r="M204" s="12" t="n">
        <v>4</v>
      </c>
    </row>
    <row r="205" ht="16.5" customHeight="1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Sim</t>
        </is>
      </c>
      <c r="F205" s="12" t="n">
        <v>15</v>
      </c>
      <c r="G205" s="8" t="inlineStr">
        <is>
          <t>Trimestral</t>
        </is>
      </c>
      <c r="H205" s="8" t="inlineStr">
        <is>
          <t>Sim</t>
        </is>
      </c>
      <c r="I205" s="12" t="n">
        <v>30</v>
      </c>
      <c r="J205" s="8" t="inlineStr">
        <is>
          <t>Sim</t>
        </is>
      </c>
      <c r="K205" s="12" t="n">
        <v>20</v>
      </c>
      <c r="L205" s="12" t="n">
        <v>7</v>
      </c>
      <c r="M205" s="12" t="n">
        <v>58</v>
      </c>
    </row>
    <row r="206" hidden="1" ht="16.5" customHeight="1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Não</t>
        </is>
      </c>
      <c r="F206" s="12" t="n">
        <v>10</v>
      </c>
      <c r="G206" s="8" t="inlineStr">
        <is>
          <t>Mensal</t>
        </is>
      </c>
      <c r="H206" s="8" t="inlineStr">
        <is>
          <t>Não</t>
        </is>
      </c>
      <c r="I206" s="12" t="inlineStr">
        <is>
          <t>-</t>
        </is>
      </c>
      <c r="J206" s="8" t="inlineStr">
        <is>
          <t>Sim</t>
        </is>
      </c>
      <c r="K206" s="12" t="n">
        <v>20</v>
      </c>
      <c r="L206" s="12" t="n">
        <v>10</v>
      </c>
      <c r="M206" s="12" t="n">
        <v>20</v>
      </c>
    </row>
    <row r="207" hidden="1" ht="16.5" customHeight="1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Sim</t>
        </is>
      </c>
      <c r="F207" s="12" t="n">
        <v>5</v>
      </c>
      <c r="G207" s="8" t="inlineStr">
        <is>
          <t>Mensal</t>
        </is>
      </c>
      <c r="H207" s="8" t="inlineStr">
        <is>
          <t>Não</t>
        </is>
      </c>
      <c r="I207" s="12" t="inlineStr">
        <is>
          <t>-</t>
        </is>
      </c>
      <c r="J207" s="8" t="inlineStr">
        <is>
          <t>Não</t>
        </is>
      </c>
      <c r="K207" s="12" t="n">
        <v>0</v>
      </c>
      <c r="L207" s="12" t="n">
        <v>0</v>
      </c>
      <c r="M207" s="12" t="n">
        <v>5</v>
      </c>
    </row>
    <row r="208" ht="16.5" customHeight="1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Não</t>
        </is>
      </c>
      <c r="F208" s="12" t="n">
        <v>15</v>
      </c>
      <c r="G208" s="8" t="inlineStr">
        <is>
          <t>Trimestral</t>
        </is>
      </c>
      <c r="H208" s="8" t="inlineStr">
        <is>
          <t>Sim</t>
        </is>
      </c>
      <c r="I208" s="12" t="n">
        <v>30</v>
      </c>
      <c r="J208" s="8" t="inlineStr">
        <is>
          <t>Sim</t>
        </is>
      </c>
      <c r="K208" s="12" t="n">
        <v>20</v>
      </c>
      <c r="L208" s="12" t="n">
        <v>7</v>
      </c>
      <c r="M208" s="12" t="n">
        <v>58</v>
      </c>
    </row>
    <row r="209" hidden="1" ht="16.5" customHeight="1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Sim</t>
        </is>
      </c>
      <c r="F209" s="12" t="n">
        <v>10</v>
      </c>
      <c r="G209" s="8" t="inlineStr">
        <is>
          <t>Anual</t>
        </is>
      </c>
      <c r="H209" s="8" t="inlineStr">
        <is>
          <t>Não</t>
        </is>
      </c>
      <c r="I209" s="12" t="inlineStr">
        <is>
          <t>-</t>
        </is>
      </c>
      <c r="J209" s="8" t="inlineStr">
        <is>
          <t>Sim</t>
        </is>
      </c>
      <c r="K209" s="12" t="n">
        <v>20</v>
      </c>
      <c r="L209" s="12" t="n">
        <v>10</v>
      </c>
      <c r="M209" s="12" t="n">
        <v>20</v>
      </c>
    </row>
    <row r="210" hidden="1" ht="16.5" customHeight="1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Não</t>
        </is>
      </c>
      <c r="F210" s="12" t="n">
        <v>5</v>
      </c>
      <c r="G210" s="8" t="inlineStr">
        <is>
          <t>Trimestral</t>
        </is>
      </c>
      <c r="H210" s="8" t="inlineStr">
        <is>
          <t>Não</t>
        </is>
      </c>
      <c r="I210" s="12" t="inlineStr">
        <is>
          <t>-</t>
        </is>
      </c>
      <c r="J210" s="8" t="inlineStr">
        <is>
          <t>Não</t>
        </is>
      </c>
      <c r="K210" s="12" t="n">
        <v>0</v>
      </c>
      <c r="L210" s="12" t="n">
        <v>1</v>
      </c>
      <c r="M210" s="12" t="n">
        <v>4</v>
      </c>
    </row>
    <row r="211" ht="16.5" customHeight="1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Sim</t>
        </is>
      </c>
      <c r="F211" s="12" t="n">
        <v>15</v>
      </c>
      <c r="G211" s="8" t="inlineStr">
        <is>
          <t>Mensal</t>
        </is>
      </c>
      <c r="H211" s="8" t="inlineStr">
        <is>
          <t>Sim</t>
        </is>
      </c>
      <c r="I211" s="12" t="n">
        <v>30</v>
      </c>
      <c r="J211" s="8" t="inlineStr">
        <is>
          <t>Sim</t>
        </is>
      </c>
      <c r="K211" s="12" t="n">
        <v>20</v>
      </c>
      <c r="L211" s="12" t="n">
        <v>15</v>
      </c>
      <c r="M211" s="12" t="n">
        <v>50</v>
      </c>
    </row>
    <row r="212" hidden="1" ht="16.5" customHeight="1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Não</t>
        </is>
      </c>
      <c r="F212" s="12" t="n">
        <v>10</v>
      </c>
      <c r="G212" s="8" t="inlineStr">
        <is>
          <t>Mensal</t>
        </is>
      </c>
      <c r="H212" s="8" t="inlineStr">
        <is>
          <t>Não</t>
        </is>
      </c>
      <c r="I212" s="12" t="inlineStr">
        <is>
          <t>-</t>
        </is>
      </c>
      <c r="J212" s="8" t="inlineStr">
        <is>
          <t>Sim</t>
        </is>
      </c>
      <c r="K212" s="12" t="n">
        <v>20</v>
      </c>
      <c r="L212" s="12" t="n">
        <v>5</v>
      </c>
      <c r="M212" s="12" t="n">
        <v>25</v>
      </c>
    </row>
    <row r="213" hidden="1" ht="16.5" customHeight="1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Sim</t>
        </is>
      </c>
      <c r="F213" s="12" t="n">
        <v>5</v>
      </c>
      <c r="G213" s="8" t="inlineStr">
        <is>
          <t>Anual</t>
        </is>
      </c>
      <c r="H213" s="8" t="inlineStr">
        <is>
          <t>Não</t>
        </is>
      </c>
      <c r="I213" s="12" t="inlineStr">
        <is>
          <t>-</t>
        </is>
      </c>
      <c r="J213" s="8" t="inlineStr">
        <is>
          <t>Não</t>
        </is>
      </c>
      <c r="K213" s="12" t="n">
        <v>0</v>
      </c>
      <c r="L213" s="12" t="n">
        <v>0</v>
      </c>
      <c r="M213" s="12" t="n">
        <v>5</v>
      </c>
    </row>
    <row r="214" ht="16.5" customHeight="1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Não</t>
        </is>
      </c>
      <c r="F214" s="12" t="n">
        <v>15</v>
      </c>
      <c r="G214" s="8" t="inlineStr">
        <is>
          <t>Trimestral</t>
        </is>
      </c>
      <c r="H214" s="8" t="inlineStr">
        <is>
          <t>Sim</t>
        </is>
      </c>
      <c r="I214" s="12" t="n">
        <v>30</v>
      </c>
      <c r="J214" s="8" t="inlineStr">
        <is>
          <t>Sim</t>
        </is>
      </c>
      <c r="K214" s="12" t="n">
        <v>20</v>
      </c>
      <c r="L214" s="12" t="n">
        <v>20</v>
      </c>
      <c r="M214" s="12" t="n">
        <v>45</v>
      </c>
    </row>
    <row r="215" hidden="1" ht="16.5" customHeight="1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Sim</t>
        </is>
      </c>
      <c r="F215" s="12" t="n">
        <v>10</v>
      </c>
      <c r="G215" s="8" t="inlineStr">
        <is>
          <t>Trimestral</t>
        </is>
      </c>
      <c r="H215" s="8" t="inlineStr">
        <is>
          <t>Não</t>
        </is>
      </c>
      <c r="I215" s="12" t="inlineStr">
        <is>
          <t>-</t>
        </is>
      </c>
      <c r="J215" s="8" t="inlineStr">
        <is>
          <t>Sim</t>
        </is>
      </c>
      <c r="K215" s="12" t="n">
        <v>20</v>
      </c>
      <c r="L215" s="12" t="n">
        <v>12</v>
      </c>
      <c r="M215" s="12" t="n">
        <v>18</v>
      </c>
    </row>
    <row r="216" hidden="1" ht="16.5" customHeight="1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Não</t>
        </is>
      </c>
      <c r="F216" s="12" t="n">
        <v>5</v>
      </c>
      <c r="G216" s="8" t="inlineStr">
        <is>
          <t>Mensal</t>
        </is>
      </c>
      <c r="H216" s="8" t="inlineStr">
        <is>
          <t>Não</t>
        </is>
      </c>
      <c r="I216" s="12" t="inlineStr">
        <is>
          <t>-</t>
        </is>
      </c>
      <c r="J216" s="8" t="inlineStr">
        <is>
          <t>Não</t>
        </is>
      </c>
      <c r="K216" s="12" t="n">
        <v>0</v>
      </c>
      <c r="L216" s="12" t="n">
        <v>2</v>
      </c>
      <c r="M216" s="12" t="n">
        <v>3</v>
      </c>
    </row>
    <row r="217" ht="16.5" customHeight="1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Sim</t>
        </is>
      </c>
      <c r="F217" s="12" t="n">
        <v>15</v>
      </c>
      <c r="G217" s="8" t="inlineStr">
        <is>
          <t>Anual</t>
        </is>
      </c>
      <c r="H217" s="8" t="inlineStr">
        <is>
          <t>Sim</t>
        </is>
      </c>
      <c r="I217" s="12" t="n">
        <v>30</v>
      </c>
      <c r="J217" s="8" t="inlineStr">
        <is>
          <t>Sim</t>
        </is>
      </c>
      <c r="K217" s="12" t="n">
        <v>20</v>
      </c>
      <c r="L217" s="12" t="n">
        <v>5</v>
      </c>
      <c r="M217" s="12" t="n">
        <v>60</v>
      </c>
    </row>
    <row r="218" hidden="1" ht="16.5" customHeight="1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Não</t>
        </is>
      </c>
      <c r="F218" s="12" t="n">
        <v>10</v>
      </c>
      <c r="G218" s="8" t="inlineStr">
        <is>
          <t>Mensal</t>
        </is>
      </c>
      <c r="H218" s="8" t="inlineStr">
        <is>
          <t>Não</t>
        </is>
      </c>
      <c r="I218" s="12" t="inlineStr">
        <is>
          <t>-</t>
        </is>
      </c>
      <c r="J218" s="8" t="inlineStr">
        <is>
          <t>Sim</t>
        </is>
      </c>
      <c r="K218" s="12" t="n">
        <v>20</v>
      </c>
      <c r="L218" s="12" t="n">
        <v>10</v>
      </c>
      <c r="M218" s="12" t="n">
        <v>20</v>
      </c>
    </row>
    <row r="219" hidden="1" ht="16.5" customHeight="1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Sim</t>
        </is>
      </c>
      <c r="F219" s="12" t="n">
        <v>5</v>
      </c>
      <c r="G219" s="8" t="inlineStr">
        <is>
          <t>Trimestral</t>
        </is>
      </c>
      <c r="H219" s="8" t="inlineStr">
        <is>
          <t>Não</t>
        </is>
      </c>
      <c r="I219" s="12" t="inlineStr">
        <is>
          <t>-</t>
        </is>
      </c>
      <c r="J219" s="8" t="inlineStr">
        <is>
          <t>Não</t>
        </is>
      </c>
      <c r="K219" s="12" t="n">
        <v>0</v>
      </c>
      <c r="L219" s="12" t="n">
        <v>0</v>
      </c>
      <c r="M219" s="12" t="n">
        <v>5</v>
      </c>
    </row>
    <row r="220" ht="16.5" customHeight="1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Não</t>
        </is>
      </c>
      <c r="F220" s="12" t="n">
        <v>15</v>
      </c>
      <c r="G220" s="8" t="inlineStr">
        <is>
          <t>Mensal</t>
        </is>
      </c>
      <c r="H220" s="8" t="inlineStr">
        <is>
          <t>Sim</t>
        </is>
      </c>
      <c r="I220" s="12" t="n">
        <v>30</v>
      </c>
      <c r="J220" s="8" t="inlineStr">
        <is>
          <t>Sim</t>
        </is>
      </c>
      <c r="K220" s="12" t="n">
        <v>20</v>
      </c>
      <c r="L220" s="12" t="n">
        <v>3</v>
      </c>
      <c r="M220" s="12" t="n">
        <v>62</v>
      </c>
    </row>
    <row r="221" hidden="1" ht="16.5" customHeight="1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Sim</t>
        </is>
      </c>
      <c r="F221" s="12" t="n">
        <v>10</v>
      </c>
      <c r="G221" s="8" t="inlineStr">
        <is>
          <t>Anual</t>
        </is>
      </c>
      <c r="H221" s="8" t="inlineStr">
        <is>
          <t>Não</t>
        </is>
      </c>
      <c r="I221" s="12" t="inlineStr">
        <is>
          <t>-</t>
        </is>
      </c>
      <c r="J221" s="8" t="inlineStr">
        <is>
          <t>Sim</t>
        </is>
      </c>
      <c r="K221" s="12" t="n">
        <v>20</v>
      </c>
      <c r="L221" s="12" t="n">
        <v>15</v>
      </c>
      <c r="M221" s="12" t="n">
        <v>15</v>
      </c>
    </row>
    <row r="222" hidden="1" ht="16.5" customHeight="1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Não</t>
        </is>
      </c>
      <c r="F222" s="12" t="n">
        <v>5</v>
      </c>
      <c r="G222" s="8" t="inlineStr">
        <is>
          <t>Mensal</t>
        </is>
      </c>
      <c r="H222" s="8" t="inlineStr">
        <is>
          <t>Não</t>
        </is>
      </c>
      <c r="I222" s="12" t="inlineStr">
        <is>
          <t>-</t>
        </is>
      </c>
      <c r="J222" s="8" t="inlineStr">
        <is>
          <t>Não</t>
        </is>
      </c>
      <c r="K222" s="12" t="n">
        <v>0</v>
      </c>
      <c r="L222" s="12" t="n">
        <v>1</v>
      </c>
      <c r="M222" s="12" t="n">
        <v>4</v>
      </c>
    </row>
    <row r="223" ht="16.5" customHeight="1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Sim</t>
        </is>
      </c>
      <c r="F223" s="12" t="n">
        <v>15</v>
      </c>
      <c r="G223" s="8" t="inlineStr">
        <is>
          <t>Trimestral</t>
        </is>
      </c>
      <c r="H223" s="8" t="inlineStr">
        <is>
          <t>Sim</t>
        </is>
      </c>
      <c r="I223" s="12" t="n">
        <v>30</v>
      </c>
      <c r="J223" s="8" t="inlineStr">
        <is>
          <t>Sim</t>
        </is>
      </c>
      <c r="K223" s="12" t="n">
        <v>20</v>
      </c>
      <c r="L223" s="12" t="n">
        <v>7</v>
      </c>
      <c r="M223" s="12" t="n">
        <v>58</v>
      </c>
    </row>
    <row r="224" hidden="1" ht="16.5" customHeight="1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Não</t>
        </is>
      </c>
      <c r="F224" s="12" t="n">
        <v>10</v>
      </c>
      <c r="G224" s="8" t="inlineStr">
        <is>
          <t>Mensal</t>
        </is>
      </c>
      <c r="H224" s="8" t="inlineStr">
        <is>
          <t>Não</t>
        </is>
      </c>
      <c r="I224" s="12" t="inlineStr">
        <is>
          <t>-</t>
        </is>
      </c>
      <c r="J224" s="8" t="inlineStr">
        <is>
          <t>Sim</t>
        </is>
      </c>
      <c r="K224" s="12" t="n">
        <v>20</v>
      </c>
      <c r="L224" s="12" t="n">
        <v>10</v>
      </c>
      <c r="M224" s="12" t="n">
        <v>20</v>
      </c>
    </row>
    <row r="225" hidden="1" ht="16.5" customHeight="1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Sim</t>
        </is>
      </c>
      <c r="F225" s="12" t="n">
        <v>5</v>
      </c>
      <c r="G225" s="8" t="inlineStr">
        <is>
          <t>Anual</t>
        </is>
      </c>
      <c r="H225" s="8" t="inlineStr">
        <is>
          <t>Não</t>
        </is>
      </c>
      <c r="I225" s="12" t="inlineStr">
        <is>
          <t>-</t>
        </is>
      </c>
      <c r="J225" s="8" t="inlineStr">
        <is>
          <t>Não</t>
        </is>
      </c>
      <c r="K225" s="12" t="n">
        <v>0</v>
      </c>
      <c r="L225" s="12" t="n">
        <v>0</v>
      </c>
      <c r="M225" s="12" t="n">
        <v>5</v>
      </c>
    </row>
    <row r="226" ht="16.5" customHeight="1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Não</t>
        </is>
      </c>
      <c r="F226" s="12" t="n">
        <v>15</v>
      </c>
      <c r="G226" s="8" t="inlineStr">
        <is>
          <t>Mensal</t>
        </is>
      </c>
      <c r="H226" s="8" t="inlineStr">
        <is>
          <t>Sim</t>
        </is>
      </c>
      <c r="I226" s="12" t="n">
        <v>30</v>
      </c>
      <c r="J226" s="8" t="inlineStr">
        <is>
          <t>Sim</t>
        </is>
      </c>
      <c r="K226" s="12" t="n">
        <v>20</v>
      </c>
      <c r="L226" s="12" t="n">
        <v>20</v>
      </c>
      <c r="M226" s="12" t="n">
        <v>45</v>
      </c>
    </row>
    <row r="227" hidden="1" ht="16.5" customHeight="1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Sim</t>
        </is>
      </c>
      <c r="F227" s="12" t="n">
        <v>10</v>
      </c>
      <c r="G227" s="8" t="inlineStr">
        <is>
          <t>Trimestral</t>
        </is>
      </c>
      <c r="H227" s="8" t="inlineStr">
        <is>
          <t>Não</t>
        </is>
      </c>
      <c r="I227" s="12" t="inlineStr">
        <is>
          <t>-</t>
        </is>
      </c>
      <c r="J227" s="8" t="inlineStr">
        <is>
          <t>Sim</t>
        </is>
      </c>
      <c r="K227" s="12" t="n">
        <v>20</v>
      </c>
      <c r="L227" s="12" t="n">
        <v>15</v>
      </c>
      <c r="M227" s="12" t="n">
        <v>15</v>
      </c>
    </row>
    <row r="228" hidden="1" ht="16.5" customHeight="1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Não</t>
        </is>
      </c>
      <c r="F228" s="12" t="n">
        <v>5</v>
      </c>
      <c r="G228" s="8" t="inlineStr">
        <is>
          <t>Mensal</t>
        </is>
      </c>
      <c r="H228" s="8" t="inlineStr">
        <is>
          <t>Não</t>
        </is>
      </c>
      <c r="I228" s="12" t="inlineStr">
        <is>
          <t>-</t>
        </is>
      </c>
      <c r="J228" s="8" t="inlineStr">
        <is>
          <t>Não</t>
        </is>
      </c>
      <c r="K228" s="12" t="n">
        <v>0</v>
      </c>
      <c r="L228" s="12" t="n">
        <v>1</v>
      </c>
      <c r="M228" s="12" t="n">
        <v>4</v>
      </c>
    </row>
    <row r="229" ht="16.5" customHeight="1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Sim</t>
        </is>
      </c>
      <c r="F229" s="12" t="n">
        <v>15</v>
      </c>
      <c r="G229" s="8" t="inlineStr">
        <is>
          <t>Anual</t>
        </is>
      </c>
      <c r="H229" s="8" t="inlineStr">
        <is>
          <t>Sim</t>
        </is>
      </c>
      <c r="I229" s="12" t="n">
        <v>30</v>
      </c>
      <c r="J229" s="8" t="inlineStr">
        <is>
          <t>Sim</t>
        </is>
      </c>
      <c r="K229" s="12" t="n">
        <v>20</v>
      </c>
      <c r="L229" s="12" t="n">
        <v>3</v>
      </c>
      <c r="M229" s="12" t="n">
        <v>62</v>
      </c>
    </row>
    <row r="230" hidden="1" ht="16.5" customHeight="1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Não</t>
        </is>
      </c>
      <c r="F230" s="12" t="n">
        <v>10</v>
      </c>
      <c r="G230" s="8" t="inlineStr">
        <is>
          <t>Mensal</t>
        </is>
      </c>
      <c r="H230" s="8" t="inlineStr">
        <is>
          <t>Não</t>
        </is>
      </c>
      <c r="I230" s="12" t="inlineStr">
        <is>
          <t>-</t>
        </is>
      </c>
      <c r="J230" s="8" t="inlineStr">
        <is>
          <t>Sim</t>
        </is>
      </c>
      <c r="K230" s="12" t="n">
        <v>20</v>
      </c>
      <c r="L230" s="12" t="n">
        <v>10</v>
      </c>
      <c r="M230" s="12" t="n">
        <v>20</v>
      </c>
    </row>
    <row r="231" hidden="1" ht="16.5" customHeight="1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Sim</t>
        </is>
      </c>
      <c r="F231" s="12" t="n">
        <v>5</v>
      </c>
      <c r="G231" s="8" t="inlineStr">
        <is>
          <t>Trimestral</t>
        </is>
      </c>
      <c r="H231" s="8" t="inlineStr">
        <is>
          <t>Não</t>
        </is>
      </c>
      <c r="I231" s="12" t="inlineStr">
        <is>
          <t>-</t>
        </is>
      </c>
      <c r="J231" s="8" t="inlineStr">
        <is>
          <t>Não</t>
        </is>
      </c>
      <c r="K231" s="12" t="n">
        <v>0</v>
      </c>
      <c r="L231" s="12" t="n">
        <v>0</v>
      </c>
      <c r="M231" s="12" t="n">
        <v>5</v>
      </c>
    </row>
    <row r="232" ht="16.5" customHeight="1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Não</t>
        </is>
      </c>
      <c r="F232" s="12" t="n">
        <v>15</v>
      </c>
      <c r="G232" s="8" t="inlineStr">
        <is>
          <t>Mensal</t>
        </is>
      </c>
      <c r="H232" s="8" t="inlineStr">
        <is>
          <t>Sim</t>
        </is>
      </c>
      <c r="I232" s="12" t="n">
        <v>30</v>
      </c>
      <c r="J232" s="8" t="inlineStr">
        <is>
          <t>Sim</t>
        </is>
      </c>
      <c r="K232" s="12" t="n">
        <v>20</v>
      </c>
      <c r="L232" s="12" t="n">
        <v>15</v>
      </c>
      <c r="M232" s="12" t="n">
        <v>50</v>
      </c>
    </row>
    <row r="233" hidden="1" ht="16.5" customHeight="1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Sim</t>
        </is>
      </c>
      <c r="F233" s="12" t="n">
        <v>10</v>
      </c>
      <c r="G233" s="8" t="inlineStr">
        <is>
          <t>Anual</t>
        </is>
      </c>
      <c r="H233" s="8" t="inlineStr">
        <is>
          <t>Não</t>
        </is>
      </c>
      <c r="I233" s="12" t="inlineStr">
        <is>
          <t>-</t>
        </is>
      </c>
      <c r="J233" s="8" t="inlineStr">
        <is>
          <t>Sim</t>
        </is>
      </c>
      <c r="K233" s="12" t="n">
        <v>20</v>
      </c>
      <c r="L233" s="12" t="n">
        <v>15</v>
      </c>
      <c r="M233" s="12" t="n">
        <v>15</v>
      </c>
    </row>
    <row r="234" hidden="1" ht="16.5" customHeight="1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Não</t>
        </is>
      </c>
      <c r="F234" s="12" t="n">
        <v>5</v>
      </c>
      <c r="G234" s="8" t="inlineStr">
        <is>
          <t>Mensal</t>
        </is>
      </c>
      <c r="H234" s="8" t="inlineStr">
        <is>
          <t>Não</t>
        </is>
      </c>
      <c r="I234" s="12" t="inlineStr">
        <is>
          <t>-</t>
        </is>
      </c>
      <c r="J234" s="8" t="inlineStr">
        <is>
          <t>Não</t>
        </is>
      </c>
      <c r="K234" s="12" t="n">
        <v>0</v>
      </c>
      <c r="L234" s="12" t="n">
        <v>1</v>
      </c>
      <c r="M234" s="12" t="n">
        <v>4</v>
      </c>
    </row>
    <row r="235" ht="16.5" customHeight="1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Sim</t>
        </is>
      </c>
      <c r="F235" s="12" t="n">
        <v>15</v>
      </c>
      <c r="G235" s="8" t="inlineStr">
        <is>
          <t>Trimestral</t>
        </is>
      </c>
      <c r="H235" s="8" t="inlineStr">
        <is>
          <t>Sim</t>
        </is>
      </c>
      <c r="I235" s="12" t="n">
        <v>30</v>
      </c>
      <c r="J235" s="8" t="inlineStr">
        <is>
          <t>Sim</t>
        </is>
      </c>
      <c r="K235" s="12" t="n">
        <v>20</v>
      </c>
      <c r="L235" s="12" t="n">
        <v>7</v>
      </c>
      <c r="M235" s="12" t="n">
        <v>58</v>
      </c>
    </row>
    <row r="236" hidden="1" ht="16.5" customHeight="1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Não</t>
        </is>
      </c>
      <c r="F236" s="12" t="n">
        <v>10</v>
      </c>
      <c r="G236" s="8" t="inlineStr">
        <is>
          <t>Mensal</t>
        </is>
      </c>
      <c r="H236" s="8" t="inlineStr">
        <is>
          <t>Não</t>
        </is>
      </c>
      <c r="I236" s="12" t="inlineStr">
        <is>
          <t>-</t>
        </is>
      </c>
      <c r="J236" s="8" t="inlineStr">
        <is>
          <t>Sim</t>
        </is>
      </c>
      <c r="K236" s="12" t="n">
        <v>20</v>
      </c>
      <c r="L236" s="12" t="n">
        <v>10</v>
      </c>
      <c r="M236" s="12" t="n">
        <v>20</v>
      </c>
    </row>
    <row r="237" hidden="1" ht="16.5" customHeight="1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Sim</t>
        </is>
      </c>
      <c r="F237" s="12" t="n">
        <v>5</v>
      </c>
      <c r="G237" s="8" t="inlineStr">
        <is>
          <t>Anual</t>
        </is>
      </c>
      <c r="H237" s="8" t="inlineStr">
        <is>
          <t>Não</t>
        </is>
      </c>
      <c r="I237" s="12" t="inlineStr">
        <is>
          <t>-</t>
        </is>
      </c>
      <c r="J237" s="8" t="inlineStr">
        <is>
          <t>Não</t>
        </is>
      </c>
      <c r="K237" s="12" t="n">
        <v>0</v>
      </c>
      <c r="L237" s="12" t="n">
        <v>0</v>
      </c>
      <c r="M237" s="12" t="n">
        <v>5</v>
      </c>
    </row>
    <row r="238" ht="16.5" customHeight="1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Não</t>
        </is>
      </c>
      <c r="F238" s="12" t="n">
        <v>15</v>
      </c>
      <c r="G238" s="8" t="inlineStr">
        <is>
          <t>Mensal</t>
        </is>
      </c>
      <c r="H238" s="8" t="inlineStr">
        <is>
          <t>Sim</t>
        </is>
      </c>
      <c r="I238" s="12" t="n">
        <v>30</v>
      </c>
      <c r="J238" s="8" t="inlineStr">
        <is>
          <t>Sim</t>
        </is>
      </c>
      <c r="K238" s="12" t="n">
        <v>20</v>
      </c>
      <c r="L238" s="12" t="n">
        <v>15</v>
      </c>
      <c r="M238" s="12" t="n">
        <v>50</v>
      </c>
    </row>
    <row r="239" hidden="1" ht="16.5" customHeight="1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Sim</t>
        </is>
      </c>
      <c r="F239" s="12" t="n">
        <v>10</v>
      </c>
      <c r="G239" s="8" t="inlineStr">
        <is>
          <t>Trimestral</t>
        </is>
      </c>
      <c r="H239" s="8" t="inlineStr">
        <is>
          <t>Não</t>
        </is>
      </c>
      <c r="I239" s="12" t="inlineStr">
        <is>
          <t>-</t>
        </is>
      </c>
      <c r="J239" s="8" t="inlineStr">
        <is>
          <t>Sim</t>
        </is>
      </c>
      <c r="K239" s="12" t="n">
        <v>20</v>
      </c>
      <c r="L239" s="12" t="n">
        <v>12</v>
      </c>
      <c r="M239" s="12" t="n">
        <v>18</v>
      </c>
    </row>
    <row r="240" hidden="1" ht="16.5" customHeight="1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Não</t>
        </is>
      </c>
      <c r="F240" s="12" t="n">
        <v>5</v>
      </c>
      <c r="G240" s="8" t="inlineStr">
        <is>
          <t>Mensal</t>
        </is>
      </c>
      <c r="H240" s="8" t="inlineStr">
        <is>
          <t>Não</t>
        </is>
      </c>
      <c r="I240" s="12" t="inlineStr">
        <is>
          <t>-</t>
        </is>
      </c>
      <c r="J240" s="8" t="inlineStr">
        <is>
          <t>Não</t>
        </is>
      </c>
      <c r="K240" s="12" t="n">
        <v>0</v>
      </c>
      <c r="L240" s="12" t="n">
        <v>2</v>
      </c>
      <c r="M240" s="12" t="n">
        <v>3</v>
      </c>
    </row>
    <row r="241" ht="16.5" customHeight="1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Sim</t>
        </is>
      </c>
      <c r="F241" s="12" t="n">
        <v>15</v>
      </c>
      <c r="G241" s="8" t="inlineStr">
        <is>
          <t>Anual</t>
        </is>
      </c>
      <c r="H241" s="8" t="inlineStr">
        <is>
          <t>Sim</t>
        </is>
      </c>
      <c r="I241" s="12" t="n">
        <v>30</v>
      </c>
      <c r="J241" s="8" t="inlineStr">
        <is>
          <t>Sim</t>
        </is>
      </c>
      <c r="K241" s="12" t="n">
        <v>20</v>
      </c>
      <c r="L241" s="12" t="n">
        <v>5</v>
      </c>
      <c r="M241" s="12" t="n">
        <v>60</v>
      </c>
    </row>
    <row r="242" hidden="1" ht="16.5" customHeight="1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Não</t>
        </is>
      </c>
      <c r="F242" s="12" t="n">
        <v>10</v>
      </c>
      <c r="G242" s="8" t="inlineStr">
        <is>
          <t>Mensal</t>
        </is>
      </c>
      <c r="H242" s="8" t="inlineStr">
        <is>
          <t>Não</t>
        </is>
      </c>
      <c r="I242" s="12" t="inlineStr">
        <is>
          <t>-</t>
        </is>
      </c>
      <c r="J242" s="8" t="inlineStr">
        <is>
          <t>Sim</t>
        </is>
      </c>
      <c r="K242" s="12" t="n">
        <v>20</v>
      </c>
      <c r="L242" s="12" t="n">
        <v>10</v>
      </c>
      <c r="M242" s="12" t="n">
        <v>20</v>
      </c>
    </row>
    <row r="243" hidden="1" ht="16.5" customHeight="1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Sim</t>
        </is>
      </c>
      <c r="F243" s="12" t="n">
        <v>5</v>
      </c>
      <c r="G243" s="8" t="inlineStr">
        <is>
          <t>Trimestral</t>
        </is>
      </c>
      <c r="H243" s="8" t="inlineStr">
        <is>
          <t>Não</t>
        </is>
      </c>
      <c r="I243" s="12" t="inlineStr">
        <is>
          <t>-</t>
        </is>
      </c>
      <c r="J243" s="8" t="inlineStr">
        <is>
          <t>Não</t>
        </is>
      </c>
      <c r="K243" s="12" t="n">
        <v>0</v>
      </c>
      <c r="L243" s="12" t="n">
        <v>0</v>
      </c>
      <c r="M243" s="12" t="n">
        <v>5</v>
      </c>
    </row>
    <row r="244" ht="16.5" customHeight="1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Não</t>
        </is>
      </c>
      <c r="F244" s="12" t="n">
        <v>15</v>
      </c>
      <c r="G244" s="8" t="inlineStr">
        <is>
          <t>Mensal</t>
        </is>
      </c>
      <c r="H244" s="8" t="inlineStr">
        <is>
          <t>Sim</t>
        </is>
      </c>
      <c r="I244" s="12" t="n">
        <v>30</v>
      </c>
      <c r="J244" s="8" t="inlineStr">
        <is>
          <t>Sim</t>
        </is>
      </c>
      <c r="K244" s="12" t="n">
        <v>20</v>
      </c>
      <c r="L244" s="12" t="n">
        <v>3</v>
      </c>
      <c r="M244" s="12" t="n">
        <v>62</v>
      </c>
    </row>
    <row r="245" hidden="1" ht="16.5" customHeight="1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Sim</t>
        </is>
      </c>
      <c r="F245" s="12" t="n">
        <v>10</v>
      </c>
      <c r="G245" s="8" t="inlineStr">
        <is>
          <t>Anual</t>
        </is>
      </c>
      <c r="H245" s="8" t="inlineStr">
        <is>
          <t>Não</t>
        </is>
      </c>
      <c r="I245" s="12" t="inlineStr">
        <is>
          <t>-</t>
        </is>
      </c>
      <c r="J245" s="8" t="inlineStr">
        <is>
          <t>Sim</t>
        </is>
      </c>
      <c r="K245" s="12" t="n">
        <v>20</v>
      </c>
      <c r="L245" s="12" t="n">
        <v>15</v>
      </c>
      <c r="M245" s="12" t="n">
        <v>15</v>
      </c>
    </row>
    <row r="246" hidden="1" ht="16.5" customHeight="1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Não</t>
        </is>
      </c>
      <c r="F246" s="12" t="n">
        <v>5</v>
      </c>
      <c r="G246" s="8" t="inlineStr">
        <is>
          <t>Mensal</t>
        </is>
      </c>
      <c r="H246" s="8" t="inlineStr">
        <is>
          <t>Não</t>
        </is>
      </c>
      <c r="I246" s="12" t="inlineStr">
        <is>
          <t>-</t>
        </is>
      </c>
      <c r="J246" s="8" t="inlineStr">
        <is>
          <t>Não</t>
        </is>
      </c>
      <c r="K246" s="12" t="n">
        <v>0</v>
      </c>
      <c r="L246" s="12" t="n">
        <v>1</v>
      </c>
      <c r="M246" s="12" t="n">
        <v>4</v>
      </c>
    </row>
    <row r="247" ht="16.5" customHeight="1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Sim</t>
        </is>
      </c>
      <c r="F247" s="12" t="n">
        <v>15</v>
      </c>
      <c r="G247" s="8" t="inlineStr">
        <is>
          <t>Trimestral</t>
        </is>
      </c>
      <c r="H247" s="8" t="inlineStr">
        <is>
          <t>Sim</t>
        </is>
      </c>
      <c r="I247" s="12" t="n">
        <v>30</v>
      </c>
      <c r="J247" s="8" t="inlineStr">
        <is>
          <t>Sim</t>
        </is>
      </c>
      <c r="K247" s="12" t="n">
        <v>20</v>
      </c>
      <c r="L247" s="12" t="n">
        <v>7</v>
      </c>
      <c r="M247" s="12" t="n">
        <v>58</v>
      </c>
    </row>
    <row r="248" hidden="1" ht="16.5" customHeight="1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Não</t>
        </is>
      </c>
      <c r="F248" s="12" t="n">
        <v>10</v>
      </c>
      <c r="G248" s="8" t="inlineStr">
        <is>
          <t>Mensal</t>
        </is>
      </c>
      <c r="H248" s="8" t="inlineStr">
        <is>
          <t>Não</t>
        </is>
      </c>
      <c r="I248" s="12" t="inlineStr">
        <is>
          <t>-</t>
        </is>
      </c>
      <c r="J248" s="8" t="inlineStr">
        <is>
          <t>Sim</t>
        </is>
      </c>
      <c r="K248" s="12" t="n">
        <v>20</v>
      </c>
      <c r="L248" s="12" t="n">
        <v>10</v>
      </c>
      <c r="M248" s="12" t="n">
        <v>20</v>
      </c>
    </row>
    <row r="249" hidden="1" ht="16.5" customHeight="1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Sim</t>
        </is>
      </c>
      <c r="F249" s="12" t="n">
        <v>5</v>
      </c>
      <c r="G249" s="8" t="inlineStr">
        <is>
          <t>Anual</t>
        </is>
      </c>
      <c r="H249" s="8" t="inlineStr">
        <is>
          <t>Não</t>
        </is>
      </c>
      <c r="I249" s="12" t="inlineStr">
        <is>
          <t>-</t>
        </is>
      </c>
      <c r="J249" s="8" t="inlineStr">
        <is>
          <t>Não</t>
        </is>
      </c>
      <c r="K249" s="12" t="n">
        <v>0</v>
      </c>
      <c r="L249" s="12" t="n">
        <v>0</v>
      </c>
      <c r="M249" s="12" t="n">
        <v>5</v>
      </c>
    </row>
    <row r="250" ht="16.5" customHeight="1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Não</t>
        </is>
      </c>
      <c r="F250" s="12" t="n">
        <v>15</v>
      </c>
      <c r="G250" s="8" t="inlineStr">
        <is>
          <t>Mensal</t>
        </is>
      </c>
      <c r="H250" s="8" t="inlineStr">
        <is>
          <t>Sim</t>
        </is>
      </c>
      <c r="I250" s="12" t="n">
        <v>30</v>
      </c>
      <c r="J250" s="8" t="inlineStr">
        <is>
          <t>Sim</t>
        </is>
      </c>
      <c r="K250" s="12" t="n">
        <v>20</v>
      </c>
      <c r="L250" s="12" t="n">
        <v>20</v>
      </c>
      <c r="M250" s="12" t="n">
        <v>45</v>
      </c>
    </row>
    <row r="251" hidden="1" ht="16.5" customHeight="1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Sim</t>
        </is>
      </c>
      <c r="F251" s="12" t="n">
        <v>10</v>
      </c>
      <c r="G251" s="8" t="inlineStr">
        <is>
          <t>Trimestral</t>
        </is>
      </c>
      <c r="H251" s="8" t="inlineStr">
        <is>
          <t>Não</t>
        </is>
      </c>
      <c r="I251" s="12" t="inlineStr">
        <is>
          <t>-</t>
        </is>
      </c>
      <c r="J251" s="8" t="inlineStr">
        <is>
          <t>Sim</t>
        </is>
      </c>
      <c r="K251" s="12" t="n">
        <v>20</v>
      </c>
      <c r="L251" s="12" t="n">
        <v>15</v>
      </c>
      <c r="M251" s="12" t="n">
        <v>15</v>
      </c>
    </row>
    <row r="252" hidden="1" ht="16.5" customHeight="1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Não</t>
        </is>
      </c>
      <c r="F252" s="12" t="n">
        <v>5</v>
      </c>
      <c r="G252" s="8" t="inlineStr">
        <is>
          <t>Mensal</t>
        </is>
      </c>
      <c r="H252" s="8" t="inlineStr">
        <is>
          <t>Não</t>
        </is>
      </c>
      <c r="I252" s="12" t="inlineStr">
        <is>
          <t>-</t>
        </is>
      </c>
      <c r="J252" s="8" t="inlineStr">
        <is>
          <t>Não</t>
        </is>
      </c>
      <c r="K252" s="12" t="n">
        <v>0</v>
      </c>
      <c r="L252" s="12" t="n">
        <v>1</v>
      </c>
      <c r="M252" s="12" t="n">
        <v>4</v>
      </c>
    </row>
    <row r="253" ht="16.5" customHeight="1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Sim</t>
        </is>
      </c>
      <c r="F253" s="12" t="n">
        <v>15</v>
      </c>
      <c r="G253" s="8" t="inlineStr">
        <is>
          <t>Anual</t>
        </is>
      </c>
      <c r="H253" s="8" t="inlineStr">
        <is>
          <t>Sim</t>
        </is>
      </c>
      <c r="I253" s="12" t="n">
        <v>30</v>
      </c>
      <c r="J253" s="8" t="inlineStr">
        <is>
          <t>Sim</t>
        </is>
      </c>
      <c r="K253" s="12" t="n">
        <v>20</v>
      </c>
      <c r="L253" s="12" t="n">
        <v>3</v>
      </c>
      <c r="M253" s="12" t="n">
        <v>62</v>
      </c>
    </row>
    <row r="254" hidden="1" ht="16.5" customHeight="1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Não</t>
        </is>
      </c>
      <c r="F254" s="12" t="n">
        <v>10</v>
      </c>
      <c r="G254" s="8" t="inlineStr">
        <is>
          <t>Mensal</t>
        </is>
      </c>
      <c r="H254" s="8" t="inlineStr">
        <is>
          <t>Não</t>
        </is>
      </c>
      <c r="I254" s="12" t="inlineStr">
        <is>
          <t>-</t>
        </is>
      </c>
      <c r="J254" s="8" t="inlineStr">
        <is>
          <t>Sim</t>
        </is>
      </c>
      <c r="K254" s="12" t="n">
        <v>20</v>
      </c>
      <c r="L254" s="12" t="n">
        <v>10</v>
      </c>
      <c r="M254" s="12" t="n">
        <v>20</v>
      </c>
    </row>
    <row r="255" hidden="1" ht="16.5" customHeight="1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Sim</t>
        </is>
      </c>
      <c r="F255" s="12" t="n">
        <v>5</v>
      </c>
      <c r="G255" s="8" t="inlineStr">
        <is>
          <t>Trimestral</t>
        </is>
      </c>
      <c r="H255" s="8" t="inlineStr">
        <is>
          <t>Não</t>
        </is>
      </c>
      <c r="I255" s="12" t="inlineStr">
        <is>
          <t>-</t>
        </is>
      </c>
      <c r="J255" s="8" t="inlineStr">
        <is>
          <t>Não</t>
        </is>
      </c>
      <c r="K255" s="12" t="n">
        <v>0</v>
      </c>
      <c r="L255" s="12" t="n">
        <v>0</v>
      </c>
      <c r="M255" s="12" t="n">
        <v>5</v>
      </c>
    </row>
    <row r="256" ht="16.5" customHeight="1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Não</t>
        </is>
      </c>
      <c r="F256" s="12" t="n">
        <v>15</v>
      </c>
      <c r="G256" s="8" t="inlineStr">
        <is>
          <t>Mensal</t>
        </is>
      </c>
      <c r="H256" s="8" t="inlineStr">
        <is>
          <t>Sim</t>
        </is>
      </c>
      <c r="I256" s="12" t="n">
        <v>30</v>
      </c>
      <c r="J256" s="8" t="inlineStr">
        <is>
          <t>Sim</t>
        </is>
      </c>
      <c r="K256" s="12" t="n">
        <v>20</v>
      </c>
      <c r="L256" s="12" t="n">
        <v>15</v>
      </c>
      <c r="M256" s="12" t="n">
        <v>50</v>
      </c>
    </row>
    <row r="257" hidden="1" ht="16.5" customHeight="1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Sim</t>
        </is>
      </c>
      <c r="F257" s="12" t="n">
        <v>5</v>
      </c>
      <c r="G257" s="8" t="inlineStr">
        <is>
          <t>Mensal</t>
        </is>
      </c>
      <c r="H257" s="8" t="inlineStr">
        <is>
          <t>Não</t>
        </is>
      </c>
      <c r="I257" s="12" t="inlineStr">
        <is>
          <t>-</t>
        </is>
      </c>
      <c r="J257" s="8" t="inlineStr">
        <is>
          <t>Não</t>
        </is>
      </c>
      <c r="K257" s="12" t="n">
        <v>0</v>
      </c>
      <c r="L257" s="12" t="n">
        <v>0</v>
      </c>
      <c r="M257" s="12" t="n">
        <v>5</v>
      </c>
    </row>
    <row r="258" ht="16.5" customHeight="1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Não</t>
        </is>
      </c>
      <c r="F258" s="12" t="n">
        <v>15</v>
      </c>
      <c r="G258" s="8" t="inlineStr">
        <is>
          <t>Trimestral</t>
        </is>
      </c>
      <c r="H258" s="8" t="inlineStr">
        <is>
          <t>Sim</t>
        </is>
      </c>
      <c r="I258" s="12" t="n">
        <v>30</v>
      </c>
      <c r="J258" s="8" t="inlineStr">
        <is>
          <t>Sim</t>
        </is>
      </c>
      <c r="K258" s="12" t="n">
        <v>20</v>
      </c>
      <c r="L258" s="12" t="n">
        <v>7</v>
      </c>
      <c r="M258" s="12" t="n">
        <v>58</v>
      </c>
    </row>
    <row r="259" hidden="1" ht="16.5" customHeight="1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Sim</t>
        </is>
      </c>
      <c r="F259" s="12" t="n">
        <v>10</v>
      </c>
      <c r="G259" s="8" t="inlineStr">
        <is>
          <t>Anual</t>
        </is>
      </c>
      <c r="H259" s="8" t="inlineStr">
        <is>
          <t>Não</t>
        </is>
      </c>
      <c r="I259" s="12" t="inlineStr">
        <is>
          <t>-</t>
        </is>
      </c>
      <c r="J259" s="8" t="inlineStr">
        <is>
          <t>Sim</t>
        </is>
      </c>
      <c r="K259" s="12" t="n">
        <v>20</v>
      </c>
      <c r="L259" s="12" t="n">
        <v>10</v>
      </c>
      <c r="M259" s="12" t="n">
        <v>20</v>
      </c>
    </row>
    <row r="260" hidden="1" ht="16.5" customHeight="1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Não</t>
        </is>
      </c>
      <c r="F260" s="12" t="n">
        <v>5</v>
      </c>
      <c r="G260" s="8" t="inlineStr">
        <is>
          <t>Trimestral</t>
        </is>
      </c>
      <c r="H260" s="8" t="inlineStr">
        <is>
          <t>Não</t>
        </is>
      </c>
      <c r="I260" s="12" t="inlineStr">
        <is>
          <t>-</t>
        </is>
      </c>
      <c r="J260" s="8" t="inlineStr">
        <is>
          <t>Não</t>
        </is>
      </c>
      <c r="K260" s="12" t="n">
        <v>0</v>
      </c>
      <c r="L260" s="12" t="n">
        <v>1</v>
      </c>
      <c r="M260" s="12" t="n">
        <v>4</v>
      </c>
    </row>
    <row r="261" ht="16.5" customHeight="1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Sim</t>
        </is>
      </c>
      <c r="F261" s="12" t="n">
        <v>15</v>
      </c>
      <c r="G261" s="8" t="inlineStr">
        <is>
          <t>Mensal</t>
        </is>
      </c>
      <c r="H261" s="8" t="inlineStr">
        <is>
          <t>Sim</t>
        </is>
      </c>
      <c r="I261" s="12" t="n">
        <v>30</v>
      </c>
      <c r="J261" s="8" t="inlineStr">
        <is>
          <t>Sim</t>
        </is>
      </c>
      <c r="K261" s="12" t="n">
        <v>20</v>
      </c>
      <c r="L261" s="12" t="n">
        <v>15</v>
      </c>
      <c r="M261" s="12" t="n">
        <v>50</v>
      </c>
    </row>
    <row r="262" hidden="1" ht="16.5" customHeight="1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Não</t>
        </is>
      </c>
      <c r="F262" s="12" t="n">
        <v>10</v>
      </c>
      <c r="G262" s="8" t="inlineStr">
        <is>
          <t>Mensal</t>
        </is>
      </c>
      <c r="H262" s="8" t="inlineStr">
        <is>
          <t>Não</t>
        </is>
      </c>
      <c r="I262" s="12" t="inlineStr">
        <is>
          <t>-</t>
        </is>
      </c>
      <c r="J262" s="8" t="inlineStr">
        <is>
          <t>Sim</t>
        </is>
      </c>
      <c r="K262" s="12" t="n">
        <v>20</v>
      </c>
      <c r="L262" s="12" t="n">
        <v>5</v>
      </c>
      <c r="M262" s="12" t="n">
        <v>25</v>
      </c>
    </row>
    <row r="263" hidden="1" ht="16.5" customHeight="1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Sim</t>
        </is>
      </c>
      <c r="F263" s="12" t="n">
        <v>5</v>
      </c>
      <c r="G263" s="8" t="inlineStr">
        <is>
          <t>Anual</t>
        </is>
      </c>
      <c r="H263" s="8" t="inlineStr">
        <is>
          <t>Não</t>
        </is>
      </c>
      <c r="I263" s="12" t="inlineStr">
        <is>
          <t>-</t>
        </is>
      </c>
      <c r="J263" s="8" t="inlineStr">
        <is>
          <t>Não</t>
        </is>
      </c>
      <c r="K263" s="12" t="n">
        <v>0</v>
      </c>
      <c r="L263" s="12" t="n">
        <v>0</v>
      </c>
      <c r="M263" s="12" t="n">
        <v>5</v>
      </c>
    </row>
    <row r="264" ht="16.5" customHeight="1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Não</t>
        </is>
      </c>
      <c r="F264" s="12" t="n">
        <v>15</v>
      </c>
      <c r="G264" s="8" t="inlineStr">
        <is>
          <t>Trimestral</t>
        </is>
      </c>
      <c r="H264" s="8" t="inlineStr">
        <is>
          <t>Sim</t>
        </is>
      </c>
      <c r="I264" s="12" t="n">
        <v>30</v>
      </c>
      <c r="J264" s="8" t="inlineStr">
        <is>
          <t>Sim</t>
        </is>
      </c>
      <c r="K264" s="12" t="n">
        <v>20</v>
      </c>
      <c r="L264" s="12" t="n">
        <v>20</v>
      </c>
      <c r="M264" s="12" t="n">
        <v>45</v>
      </c>
    </row>
    <row r="265" hidden="1" ht="16.5" customHeight="1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Sim</t>
        </is>
      </c>
      <c r="F265" s="12" t="n">
        <v>10</v>
      </c>
      <c r="G265" s="8" t="inlineStr">
        <is>
          <t>Trimestral</t>
        </is>
      </c>
      <c r="H265" s="8" t="inlineStr">
        <is>
          <t>Não</t>
        </is>
      </c>
      <c r="I265" s="12" t="inlineStr">
        <is>
          <t>-</t>
        </is>
      </c>
      <c r="J265" s="8" t="inlineStr">
        <is>
          <t>Sim</t>
        </is>
      </c>
      <c r="K265" s="12" t="n">
        <v>20</v>
      </c>
      <c r="L265" s="12" t="n">
        <v>12</v>
      </c>
      <c r="M265" s="12" t="n">
        <v>18</v>
      </c>
    </row>
    <row r="266" hidden="1" ht="16.5" customHeight="1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Não</t>
        </is>
      </c>
      <c r="F266" s="12" t="n">
        <v>5</v>
      </c>
      <c r="G266" s="8" t="inlineStr">
        <is>
          <t>Mensal</t>
        </is>
      </c>
      <c r="H266" s="8" t="inlineStr">
        <is>
          <t>Não</t>
        </is>
      </c>
      <c r="I266" s="12" t="inlineStr">
        <is>
          <t>-</t>
        </is>
      </c>
      <c r="J266" s="8" t="inlineStr">
        <is>
          <t>Não</t>
        </is>
      </c>
      <c r="K266" s="12" t="n">
        <v>0</v>
      </c>
      <c r="L266" s="12" t="n">
        <v>2</v>
      </c>
      <c r="M266" s="12" t="n">
        <v>3</v>
      </c>
    </row>
    <row r="267" ht="16.5" customHeight="1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Sim</t>
        </is>
      </c>
      <c r="F267" s="12" t="n">
        <v>15</v>
      </c>
      <c r="G267" s="8" t="inlineStr">
        <is>
          <t>Anual</t>
        </is>
      </c>
      <c r="H267" s="8" t="inlineStr">
        <is>
          <t>Sim</t>
        </is>
      </c>
      <c r="I267" s="12" t="n">
        <v>30</v>
      </c>
      <c r="J267" s="8" t="inlineStr">
        <is>
          <t>Sim</t>
        </is>
      </c>
      <c r="K267" s="12" t="n">
        <v>20</v>
      </c>
      <c r="L267" s="12" t="n">
        <v>5</v>
      </c>
      <c r="M267" s="12" t="n">
        <v>60</v>
      </c>
    </row>
    <row r="268" hidden="1" ht="16.5" customHeight="1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Não</t>
        </is>
      </c>
      <c r="F268" s="12" t="n">
        <v>10</v>
      </c>
      <c r="G268" s="8" t="inlineStr">
        <is>
          <t>Mensal</t>
        </is>
      </c>
      <c r="H268" s="8" t="inlineStr">
        <is>
          <t>Não</t>
        </is>
      </c>
      <c r="I268" s="12" t="inlineStr">
        <is>
          <t>-</t>
        </is>
      </c>
      <c r="J268" s="8" t="inlineStr">
        <is>
          <t>Sim</t>
        </is>
      </c>
      <c r="K268" s="12" t="n">
        <v>20</v>
      </c>
      <c r="L268" s="12" t="n">
        <v>10</v>
      </c>
      <c r="M268" s="12" t="n">
        <v>20</v>
      </c>
    </row>
    <row r="269" hidden="1" ht="16.5" customHeight="1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Sim</t>
        </is>
      </c>
      <c r="F269" s="12" t="n">
        <v>5</v>
      </c>
      <c r="G269" s="8" t="inlineStr">
        <is>
          <t>Trimestral</t>
        </is>
      </c>
      <c r="H269" s="8" t="inlineStr">
        <is>
          <t>Não</t>
        </is>
      </c>
      <c r="I269" s="12" t="inlineStr">
        <is>
          <t>-</t>
        </is>
      </c>
      <c r="J269" s="8" t="inlineStr">
        <is>
          <t>Não</t>
        </is>
      </c>
      <c r="K269" s="12" t="n">
        <v>0</v>
      </c>
      <c r="L269" s="12" t="n">
        <v>0</v>
      </c>
      <c r="M269" s="12" t="n">
        <v>5</v>
      </c>
    </row>
    <row r="270" ht="16.5" customHeight="1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Não</t>
        </is>
      </c>
      <c r="F270" s="12" t="n">
        <v>15</v>
      </c>
      <c r="G270" s="8" t="inlineStr">
        <is>
          <t>Mensal</t>
        </is>
      </c>
      <c r="H270" s="8" t="inlineStr">
        <is>
          <t>Sim</t>
        </is>
      </c>
      <c r="I270" s="12" t="n">
        <v>30</v>
      </c>
      <c r="J270" s="8" t="inlineStr">
        <is>
          <t>Sim</t>
        </is>
      </c>
      <c r="K270" s="12" t="n">
        <v>20</v>
      </c>
      <c r="L270" s="12" t="n">
        <v>3</v>
      </c>
      <c r="M270" s="12" t="n">
        <v>62</v>
      </c>
    </row>
    <row r="271" hidden="1" ht="16.5" customHeight="1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Sim</t>
        </is>
      </c>
      <c r="F271" s="12" t="n">
        <v>10</v>
      </c>
      <c r="G271" s="8" t="inlineStr">
        <is>
          <t>Anual</t>
        </is>
      </c>
      <c r="H271" s="8" t="inlineStr">
        <is>
          <t>Não</t>
        </is>
      </c>
      <c r="I271" s="12" t="inlineStr">
        <is>
          <t>-</t>
        </is>
      </c>
      <c r="J271" s="8" t="inlineStr">
        <is>
          <t>Sim</t>
        </is>
      </c>
      <c r="K271" s="12" t="n">
        <v>20</v>
      </c>
      <c r="L271" s="12" t="n">
        <v>15</v>
      </c>
      <c r="M271" s="12" t="n">
        <v>15</v>
      </c>
    </row>
    <row r="272" hidden="1" ht="16.5" customHeight="1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Não</t>
        </is>
      </c>
      <c r="F272" s="12" t="n">
        <v>5</v>
      </c>
      <c r="G272" s="8" t="inlineStr">
        <is>
          <t>Mensal</t>
        </is>
      </c>
      <c r="H272" s="8" t="inlineStr">
        <is>
          <t>Não</t>
        </is>
      </c>
      <c r="I272" s="12" t="inlineStr">
        <is>
          <t>-</t>
        </is>
      </c>
      <c r="J272" s="8" t="inlineStr">
        <is>
          <t>Não</t>
        </is>
      </c>
      <c r="K272" s="12" t="n">
        <v>0</v>
      </c>
      <c r="L272" s="12" t="n">
        <v>1</v>
      </c>
      <c r="M272" s="12" t="n">
        <v>4</v>
      </c>
    </row>
    <row r="273" ht="16.5" customHeight="1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Sim</t>
        </is>
      </c>
      <c r="F273" s="12" t="n">
        <v>15</v>
      </c>
      <c r="G273" s="8" t="inlineStr">
        <is>
          <t>Trimestral</t>
        </is>
      </c>
      <c r="H273" s="8" t="inlineStr">
        <is>
          <t>Sim</t>
        </is>
      </c>
      <c r="I273" s="12" t="n">
        <v>30</v>
      </c>
      <c r="J273" s="8" t="inlineStr">
        <is>
          <t>Sim</t>
        </is>
      </c>
      <c r="K273" s="12" t="n">
        <v>20</v>
      </c>
      <c r="L273" s="12" t="n">
        <v>7</v>
      </c>
      <c r="M273" s="12" t="n">
        <v>58</v>
      </c>
    </row>
    <row r="274" hidden="1" ht="16.5" customHeight="1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Não</t>
        </is>
      </c>
      <c r="F274" s="12" t="n">
        <v>10</v>
      </c>
      <c r="G274" s="8" t="inlineStr">
        <is>
          <t>Mensal</t>
        </is>
      </c>
      <c r="H274" s="8" t="inlineStr">
        <is>
          <t>Não</t>
        </is>
      </c>
      <c r="I274" s="12" t="inlineStr">
        <is>
          <t>-</t>
        </is>
      </c>
      <c r="J274" s="8" t="inlineStr">
        <is>
          <t>Sim</t>
        </is>
      </c>
      <c r="K274" s="12" t="n">
        <v>20</v>
      </c>
      <c r="L274" s="12" t="n">
        <v>10</v>
      </c>
      <c r="M274" s="12" t="n">
        <v>20</v>
      </c>
    </row>
    <row r="275" hidden="1" ht="16.5" customHeight="1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Sim</t>
        </is>
      </c>
      <c r="F275" s="12" t="n">
        <v>5</v>
      </c>
      <c r="G275" s="8" t="inlineStr">
        <is>
          <t>Anual</t>
        </is>
      </c>
      <c r="H275" s="8" t="inlineStr">
        <is>
          <t>Não</t>
        </is>
      </c>
      <c r="I275" s="12" t="inlineStr">
        <is>
          <t>-</t>
        </is>
      </c>
      <c r="J275" s="8" t="inlineStr">
        <is>
          <t>Não</t>
        </is>
      </c>
      <c r="K275" s="12" t="n">
        <v>0</v>
      </c>
      <c r="L275" s="12" t="n">
        <v>0</v>
      </c>
      <c r="M275" s="12" t="n">
        <v>5</v>
      </c>
    </row>
    <row r="276" ht="16.5" customHeight="1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Não</t>
        </is>
      </c>
      <c r="F276" s="12" t="n">
        <v>15</v>
      </c>
      <c r="G276" s="8" t="inlineStr">
        <is>
          <t>Mensal</t>
        </is>
      </c>
      <c r="H276" s="8" t="inlineStr">
        <is>
          <t>Sim</t>
        </is>
      </c>
      <c r="I276" s="12" t="n">
        <v>30</v>
      </c>
      <c r="J276" s="8" t="inlineStr">
        <is>
          <t>Sim</t>
        </is>
      </c>
      <c r="K276" s="12" t="n">
        <v>20</v>
      </c>
      <c r="L276" s="12" t="n">
        <v>20</v>
      </c>
      <c r="M276" s="12" t="n">
        <v>45</v>
      </c>
    </row>
    <row r="277" hidden="1" ht="16.5" customHeight="1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Sim</t>
        </is>
      </c>
      <c r="F277" s="12" t="n">
        <v>10</v>
      </c>
      <c r="G277" s="8" t="inlineStr">
        <is>
          <t>Trimestral</t>
        </is>
      </c>
      <c r="H277" s="8" t="inlineStr">
        <is>
          <t>Não</t>
        </is>
      </c>
      <c r="I277" s="12" t="inlineStr">
        <is>
          <t>-</t>
        </is>
      </c>
      <c r="J277" s="8" t="inlineStr">
        <is>
          <t>Sim</t>
        </is>
      </c>
      <c r="K277" s="12" t="n">
        <v>20</v>
      </c>
      <c r="L277" s="12" t="n">
        <v>15</v>
      </c>
      <c r="M277" s="12" t="n">
        <v>15</v>
      </c>
    </row>
    <row r="278" hidden="1" ht="16.5" customHeight="1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Não</t>
        </is>
      </c>
      <c r="F278" s="12" t="n">
        <v>5</v>
      </c>
      <c r="G278" s="8" t="inlineStr">
        <is>
          <t>Mensal</t>
        </is>
      </c>
      <c r="H278" s="8" t="inlineStr">
        <is>
          <t>Não</t>
        </is>
      </c>
      <c r="I278" s="12" t="inlineStr">
        <is>
          <t>-</t>
        </is>
      </c>
      <c r="J278" s="8" t="inlineStr">
        <is>
          <t>Não</t>
        </is>
      </c>
      <c r="K278" s="12" t="n">
        <v>0</v>
      </c>
      <c r="L278" s="12" t="n">
        <v>1</v>
      </c>
      <c r="M278" s="12" t="n">
        <v>4</v>
      </c>
    </row>
    <row r="279" ht="16.5" customHeight="1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Sim</t>
        </is>
      </c>
      <c r="F279" s="12" t="n">
        <v>15</v>
      </c>
      <c r="G279" s="8" t="inlineStr">
        <is>
          <t>Anual</t>
        </is>
      </c>
      <c r="H279" s="8" t="inlineStr">
        <is>
          <t>Sim</t>
        </is>
      </c>
      <c r="I279" s="12" t="n">
        <v>30</v>
      </c>
      <c r="J279" s="8" t="inlineStr">
        <is>
          <t>Sim</t>
        </is>
      </c>
      <c r="K279" s="12" t="n">
        <v>20</v>
      </c>
      <c r="L279" s="12" t="n">
        <v>3</v>
      </c>
      <c r="M279" s="12" t="n">
        <v>62</v>
      </c>
    </row>
    <row r="280" hidden="1" ht="16.5" customHeight="1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Não</t>
        </is>
      </c>
      <c r="F280" s="12" t="n">
        <v>10</v>
      </c>
      <c r="G280" s="8" t="inlineStr">
        <is>
          <t>Mensal</t>
        </is>
      </c>
      <c r="H280" s="8" t="inlineStr">
        <is>
          <t>Não</t>
        </is>
      </c>
      <c r="I280" s="12" t="inlineStr">
        <is>
          <t>-</t>
        </is>
      </c>
      <c r="J280" s="8" t="inlineStr">
        <is>
          <t>Sim</t>
        </is>
      </c>
      <c r="K280" s="12" t="n">
        <v>20</v>
      </c>
      <c r="L280" s="12" t="n">
        <v>10</v>
      </c>
      <c r="M280" s="12" t="n">
        <v>20</v>
      </c>
    </row>
    <row r="281" hidden="1" ht="16.5" customHeight="1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Sim</t>
        </is>
      </c>
      <c r="F281" s="12" t="n">
        <v>5</v>
      </c>
      <c r="G281" s="8" t="inlineStr">
        <is>
          <t>Trimestral</t>
        </is>
      </c>
      <c r="H281" s="8" t="inlineStr">
        <is>
          <t>Não</t>
        </is>
      </c>
      <c r="I281" s="12" t="inlineStr">
        <is>
          <t>-</t>
        </is>
      </c>
      <c r="J281" s="8" t="inlineStr">
        <is>
          <t>Não</t>
        </is>
      </c>
      <c r="K281" s="12" t="n">
        <v>0</v>
      </c>
      <c r="L281" s="12" t="n">
        <v>0</v>
      </c>
      <c r="M281" s="12" t="n">
        <v>5</v>
      </c>
    </row>
    <row r="282" ht="16.5" customHeight="1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Não</t>
        </is>
      </c>
      <c r="F282" s="12" t="n">
        <v>15</v>
      </c>
      <c r="G282" s="8" t="inlineStr">
        <is>
          <t>Mensal</t>
        </is>
      </c>
      <c r="H282" s="8" t="inlineStr">
        <is>
          <t>Sim</t>
        </is>
      </c>
      <c r="I282" s="12" t="n">
        <v>30</v>
      </c>
      <c r="J282" s="8" t="inlineStr">
        <is>
          <t>Sim</t>
        </is>
      </c>
      <c r="K282" s="12" t="n">
        <v>20</v>
      </c>
      <c r="L282" s="12" t="n">
        <v>15</v>
      </c>
      <c r="M282" s="12" t="n">
        <v>50</v>
      </c>
    </row>
    <row r="283" hidden="1" ht="16.5" customHeight="1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Sim</t>
        </is>
      </c>
      <c r="F283" s="12" t="n">
        <v>10</v>
      </c>
      <c r="G283" s="8" t="inlineStr">
        <is>
          <t>Anual</t>
        </is>
      </c>
      <c r="H283" s="8" t="inlineStr">
        <is>
          <t>Não</t>
        </is>
      </c>
      <c r="I283" s="12" t="inlineStr">
        <is>
          <t>-</t>
        </is>
      </c>
      <c r="J283" s="8" t="inlineStr">
        <is>
          <t>Sim</t>
        </is>
      </c>
      <c r="K283" s="12" t="n">
        <v>20</v>
      </c>
      <c r="L283" s="12" t="n">
        <v>15</v>
      </c>
      <c r="M283" s="12" t="n">
        <v>15</v>
      </c>
    </row>
    <row r="284" hidden="1" ht="16.5" customHeight="1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Não</t>
        </is>
      </c>
      <c r="F284" s="12" t="n">
        <v>5</v>
      </c>
      <c r="G284" s="8" t="inlineStr">
        <is>
          <t>Mensal</t>
        </is>
      </c>
      <c r="H284" s="8" t="inlineStr">
        <is>
          <t>Não</t>
        </is>
      </c>
      <c r="I284" s="12" t="inlineStr">
        <is>
          <t>-</t>
        </is>
      </c>
      <c r="J284" s="8" t="inlineStr">
        <is>
          <t>Não</t>
        </is>
      </c>
      <c r="K284" s="12" t="n">
        <v>0</v>
      </c>
      <c r="L284" s="12" t="n">
        <v>1</v>
      </c>
      <c r="M284" s="12" t="n">
        <v>4</v>
      </c>
    </row>
    <row r="285" ht="16.5" customHeight="1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Sim</t>
        </is>
      </c>
      <c r="F285" s="12" t="n">
        <v>15</v>
      </c>
      <c r="G285" s="8" t="inlineStr">
        <is>
          <t>Trimestral</t>
        </is>
      </c>
      <c r="H285" s="8" t="inlineStr">
        <is>
          <t>Sim</t>
        </is>
      </c>
      <c r="I285" s="12" t="n">
        <v>30</v>
      </c>
      <c r="J285" s="8" t="inlineStr">
        <is>
          <t>Sim</t>
        </is>
      </c>
      <c r="K285" s="12" t="n">
        <v>20</v>
      </c>
      <c r="L285" s="12" t="n">
        <v>7</v>
      </c>
      <c r="M285" s="12" t="n">
        <v>58</v>
      </c>
    </row>
    <row r="286" hidden="1" ht="16.5" customHeight="1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Não</t>
        </is>
      </c>
      <c r="F286" s="12" t="n">
        <v>10</v>
      </c>
      <c r="G286" s="8" t="inlineStr">
        <is>
          <t>Mensal</t>
        </is>
      </c>
      <c r="H286" s="8" t="inlineStr">
        <is>
          <t>Não</t>
        </is>
      </c>
      <c r="I286" s="12" t="inlineStr">
        <is>
          <t>-</t>
        </is>
      </c>
      <c r="J286" s="8" t="inlineStr">
        <is>
          <t>Sim</t>
        </is>
      </c>
      <c r="K286" s="12" t="n">
        <v>20</v>
      </c>
      <c r="L286" s="12" t="n">
        <v>10</v>
      </c>
      <c r="M286" s="12" t="n">
        <v>20</v>
      </c>
    </row>
    <row r="287" hidden="1" ht="16.5" customHeight="1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Sim</t>
        </is>
      </c>
      <c r="F287" s="12" t="n">
        <v>5</v>
      </c>
      <c r="G287" s="8" t="inlineStr">
        <is>
          <t>Anual</t>
        </is>
      </c>
      <c r="H287" s="8" t="inlineStr">
        <is>
          <t>Não</t>
        </is>
      </c>
      <c r="I287" s="12" t="inlineStr">
        <is>
          <t>-</t>
        </is>
      </c>
      <c r="J287" s="8" t="inlineStr">
        <is>
          <t>Não</t>
        </is>
      </c>
      <c r="K287" s="12" t="n">
        <v>0</v>
      </c>
      <c r="L287" s="12" t="n">
        <v>0</v>
      </c>
      <c r="M287" s="12" t="n">
        <v>5</v>
      </c>
    </row>
    <row r="288" ht="16.5" customHeight="1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Não</t>
        </is>
      </c>
      <c r="F288" s="12" t="n">
        <v>15</v>
      </c>
      <c r="G288" s="8" t="inlineStr">
        <is>
          <t>Mensal</t>
        </is>
      </c>
      <c r="H288" s="8" t="inlineStr">
        <is>
          <t>Sim</t>
        </is>
      </c>
      <c r="I288" s="12" t="n">
        <v>30</v>
      </c>
      <c r="J288" s="8" t="inlineStr">
        <is>
          <t>Sim</t>
        </is>
      </c>
      <c r="K288" s="12" t="n">
        <v>20</v>
      </c>
      <c r="L288" s="12" t="n">
        <v>20</v>
      </c>
      <c r="M288" s="12" t="n">
        <v>45</v>
      </c>
    </row>
    <row r="289" hidden="1" ht="16.5" customHeight="1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Sim</t>
        </is>
      </c>
      <c r="F289" s="12" t="n">
        <v>10</v>
      </c>
      <c r="G289" s="8" t="inlineStr">
        <is>
          <t>Trimestral</t>
        </is>
      </c>
      <c r="H289" s="8" t="inlineStr">
        <is>
          <t>Não</t>
        </is>
      </c>
      <c r="I289" s="12" t="inlineStr">
        <is>
          <t>-</t>
        </is>
      </c>
      <c r="J289" s="8" t="inlineStr">
        <is>
          <t>Sim</t>
        </is>
      </c>
      <c r="K289" s="12" t="n">
        <v>20</v>
      </c>
      <c r="L289" s="12" t="n">
        <v>12</v>
      </c>
      <c r="M289" s="12" t="n">
        <v>18</v>
      </c>
    </row>
    <row r="290" hidden="1" ht="16.5" customHeight="1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Não</t>
        </is>
      </c>
      <c r="F290" s="12" t="n">
        <v>5</v>
      </c>
      <c r="G290" s="8" t="inlineStr">
        <is>
          <t>Mensal</t>
        </is>
      </c>
      <c r="H290" s="8" t="inlineStr">
        <is>
          <t>Não</t>
        </is>
      </c>
      <c r="I290" s="12" t="inlineStr">
        <is>
          <t>-</t>
        </is>
      </c>
      <c r="J290" s="8" t="inlineStr">
        <is>
          <t>Não</t>
        </is>
      </c>
      <c r="K290" s="12" t="n">
        <v>0</v>
      </c>
      <c r="L290" s="12" t="n">
        <v>2</v>
      </c>
      <c r="M290" s="12" t="n">
        <v>3</v>
      </c>
    </row>
    <row r="291" ht="16.5" customHeight="1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Sim</t>
        </is>
      </c>
      <c r="F291" s="12" t="n">
        <v>15</v>
      </c>
      <c r="G291" s="8" t="inlineStr">
        <is>
          <t>Anual</t>
        </is>
      </c>
      <c r="H291" s="8" t="inlineStr">
        <is>
          <t>Sim</t>
        </is>
      </c>
      <c r="I291" s="12" t="n">
        <v>30</v>
      </c>
      <c r="J291" s="8" t="inlineStr">
        <is>
          <t>Sim</t>
        </is>
      </c>
      <c r="K291" s="12" t="n">
        <v>20</v>
      </c>
      <c r="L291" s="12" t="n">
        <v>5</v>
      </c>
      <c r="M291" s="12" t="n">
        <v>60</v>
      </c>
    </row>
    <row r="292" hidden="1" ht="16.5" customHeight="1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Não</t>
        </is>
      </c>
      <c r="F292" s="12" t="n">
        <v>10</v>
      </c>
      <c r="G292" s="8" t="inlineStr">
        <is>
          <t>Mensal</t>
        </is>
      </c>
      <c r="H292" s="8" t="inlineStr">
        <is>
          <t>Não</t>
        </is>
      </c>
      <c r="I292" s="12" t="inlineStr">
        <is>
          <t>-</t>
        </is>
      </c>
      <c r="J292" s="8" t="inlineStr">
        <is>
          <t>Sim</t>
        </is>
      </c>
      <c r="K292" s="12" t="n">
        <v>20</v>
      </c>
      <c r="L292" s="12" t="n">
        <v>10</v>
      </c>
      <c r="M292" s="12" t="n">
        <v>20</v>
      </c>
    </row>
    <row r="293" hidden="1" ht="16.5" customHeight="1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Sim</t>
        </is>
      </c>
      <c r="F293" s="12" t="n">
        <v>5</v>
      </c>
      <c r="G293" s="8" t="inlineStr">
        <is>
          <t>Trimestral</t>
        </is>
      </c>
      <c r="H293" s="8" t="inlineStr">
        <is>
          <t>Não</t>
        </is>
      </c>
      <c r="I293" s="12" t="inlineStr">
        <is>
          <t>-</t>
        </is>
      </c>
      <c r="J293" s="8" t="inlineStr">
        <is>
          <t>Não</t>
        </is>
      </c>
      <c r="K293" s="12" t="n">
        <v>0</v>
      </c>
      <c r="L293" s="12" t="n">
        <v>0</v>
      </c>
      <c r="M293" s="12" t="n">
        <v>5</v>
      </c>
    </row>
    <row r="294" ht="16.5" customHeight="1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Não</t>
        </is>
      </c>
      <c r="F294" s="12" t="n">
        <v>15</v>
      </c>
      <c r="G294" s="8" t="inlineStr">
        <is>
          <t>Mensal</t>
        </is>
      </c>
      <c r="H294" s="8" t="inlineStr">
        <is>
          <t>Sim</t>
        </is>
      </c>
      <c r="I294" s="12" t="n">
        <v>30</v>
      </c>
      <c r="J294" s="8" t="inlineStr">
        <is>
          <t>Sim</t>
        </is>
      </c>
      <c r="K294" s="12" t="n">
        <v>20</v>
      </c>
      <c r="L294" s="12" t="n">
        <v>3</v>
      </c>
      <c r="M294" s="12" t="n">
        <v>62</v>
      </c>
    </row>
    <row r="295" hidden="1" ht="16.5" customHeight="1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Sim</t>
        </is>
      </c>
      <c r="F295" s="12" t="n">
        <v>10</v>
      </c>
      <c r="G295" s="8" t="inlineStr">
        <is>
          <t>Anual</t>
        </is>
      </c>
      <c r="H295" s="8" t="inlineStr">
        <is>
          <t>Não</t>
        </is>
      </c>
      <c r="I295" s="12" t="inlineStr">
        <is>
          <t>-</t>
        </is>
      </c>
      <c r="J295" s="8" t="inlineStr">
        <is>
          <t>Sim</t>
        </is>
      </c>
      <c r="K295" s="12" t="n">
        <v>20</v>
      </c>
      <c r="L295" s="12" t="n">
        <v>15</v>
      </c>
      <c r="M295" s="12" t="n">
        <v>15</v>
      </c>
    </row>
    <row r="296" hidden="1" ht="16.5" customHeight="1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Não</t>
        </is>
      </c>
      <c r="F296" s="12" t="n">
        <v>5</v>
      </c>
      <c r="G296" s="8" t="inlineStr">
        <is>
          <t>Mensal</t>
        </is>
      </c>
      <c r="H296" s="8" t="inlineStr">
        <is>
          <t>Não</t>
        </is>
      </c>
      <c r="I296" s="12" t="inlineStr">
        <is>
          <t>-</t>
        </is>
      </c>
      <c r="J296" s="8" t="inlineStr">
        <is>
          <t>Não</t>
        </is>
      </c>
      <c r="K296" s="12" t="n">
        <v>0</v>
      </c>
      <c r="L296" s="12" t="n">
        <v>1</v>
      </c>
      <c r="M296" s="12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D46"/>
  <sheetViews>
    <sheetView showGridLines="0" tabSelected="0" workbookViewId="0">
      <selection activeCell="A1" sqref="A1:XFD1048576"/>
    </sheetView>
  </sheetViews>
  <sheetFormatPr baseColWidth="8" defaultRowHeight="15"/>
  <cols>
    <col width="26" customWidth="1" min="1" max="1"/>
    <col width="18" customWidth="1" min="2" max="2"/>
    <col width="16" bestFit="1" customWidth="1" min="3" max="3"/>
    <col width="12" bestFit="1" customWidth="1" min="4" max="4"/>
    <col width="6.28515625" customWidth="1" min="5" max="5"/>
    <col width="19.140625" bestFit="1" customWidth="1" min="6" max="6"/>
    <col width="27.7109375" bestFit="1" customWidth="1" min="7" max="7"/>
    <col width="5.42578125" customWidth="1" min="8" max="8"/>
    <col width="21.140625" bestFit="1" customWidth="1" min="9" max="9"/>
    <col width="35.140625" bestFit="1" customWidth="1" min="10" max="11"/>
    <col width="9.7109375" bestFit="1" customWidth="1" min="12" max="15"/>
    <col width="15.5703125" bestFit="1" customWidth="1" min="16" max="16"/>
    <col width="12.140625" bestFit="1" customWidth="1" min="17" max="17"/>
  </cols>
  <sheetData>
    <row r="1">
      <c r="A1" s="13" t="inlineStr">
        <is>
          <t>Indicadores</t>
        </is>
      </c>
    </row>
    <row r="3">
      <c r="A3" t="inlineStr">
        <is>
          <t>Assinantes</t>
        </is>
      </c>
      <c r="B3">
        <f>COUNTA('B̳ases'!$A$2:$A$296)</f>
        <v/>
      </c>
    </row>
    <row r="4">
      <c r="A4" t="inlineStr">
        <is>
          <t>Receita total</t>
        </is>
      </c>
      <c r="B4" s="14">
        <f>SUM('B̳ases'!$M$2:$M$296)</f>
        <v/>
      </c>
    </row>
    <row r="5">
      <c r="A5" t="inlineStr">
        <is>
          <t>Ticket médio</t>
        </is>
      </c>
      <c r="B5" s="14">
        <f>B4/B3</f>
        <v/>
      </c>
    </row>
    <row r="6">
      <c r="A6" t="inlineStr">
        <is>
          <t>Total em cupons</t>
        </is>
      </c>
      <c r="B6" s="14">
        <f>SUM('B̳ases'!$L$2:$L$296)</f>
        <v/>
      </c>
    </row>
    <row r="7">
      <c r="A7" t="inlineStr">
        <is>
          <t>% renovação automática</t>
        </is>
      </c>
      <c r="B7" s="15">
        <f>COUNTIF('B̳ases'!$E$2:$E$296,"Sim")/B3</f>
        <v/>
      </c>
    </row>
    <row r="10">
      <c r="A10" s="16" t="inlineStr">
        <is>
          <t>Por plano</t>
        </is>
      </c>
    </row>
    <row r="11">
      <c r="A11" s="17" t="inlineStr">
        <is>
          <t>Plano</t>
        </is>
      </c>
      <c r="B11" s="17" t="inlineStr">
        <is>
          <t>Assinantes</t>
        </is>
      </c>
      <c r="C11" s="17" t="inlineStr">
        <is>
          <t>Receita</t>
        </is>
      </c>
    </row>
    <row r="12">
      <c r="A12" t="inlineStr">
        <is>
          <t>Core</t>
        </is>
      </c>
      <c r="B12">
        <f>COUNTIF('B̳ases'!$C$2:$C$296,A12)</f>
        <v/>
      </c>
      <c r="C12" s="14">
        <f>SUMIF('B̳ases'!$C$2:$C$296,A12,'B̳ases'!$M$2:$M$296)</f>
        <v/>
      </c>
    </row>
    <row r="13">
      <c r="A13" t="inlineStr">
        <is>
          <t>Standard</t>
        </is>
      </c>
      <c r="B13">
        <f>COUNTIF('B̳ases'!$C$2:$C$296,A13)</f>
        <v/>
      </c>
      <c r="C13" s="14">
        <f>SUMIF('B̳ases'!$C$2:$C$296,A13,'B̳ases'!$M$2:$M$296)</f>
        <v/>
      </c>
    </row>
    <row r="14">
      <c r="A14" t="inlineStr">
        <is>
          <t>Ultimate</t>
        </is>
      </c>
      <c r="B14">
        <f>COUNTIF('B̳ases'!$C$2:$C$296,A14)</f>
        <v/>
      </c>
      <c r="C14" s="14">
        <f>SUMIF('B̳ases'!$C$2:$C$296,A14,'B̳ases'!$M$2:$M$296)</f>
        <v/>
      </c>
    </row>
    <row r="17">
      <c r="A17" s="16" t="inlineStr">
        <is>
          <t>Por tipo de assinatura</t>
        </is>
      </c>
    </row>
    <row r="18">
      <c r="A18" s="17" t="inlineStr">
        <is>
          <t>Tipo</t>
        </is>
      </c>
      <c r="B18" s="17" t="inlineStr">
        <is>
          <t>Assinantes</t>
        </is>
      </c>
      <c r="C18" s="17" t="inlineStr">
        <is>
          <t>Receita</t>
        </is>
      </c>
      <c r="D18" s="17" t="inlineStr">
        <is>
          <t>Chave</t>
        </is>
      </c>
    </row>
    <row r="19">
      <c r="A19" t="inlineStr">
        <is>
          <t>Mensal</t>
        </is>
      </c>
      <c r="B19">
        <f>COUNTIF('B̳ases'!$G$2:$G$296,D19)</f>
        <v/>
      </c>
      <c r="C19" s="14">
        <f>SUMIF('B̳ases'!$G$2:$G$296,D19,'B̳ases'!$M$2:$M$296)</f>
        <v/>
      </c>
      <c r="D19" t="inlineStr">
        <is>
          <t>Mensal</t>
        </is>
      </c>
    </row>
    <row r="20">
      <c r="A20" t="inlineStr">
        <is>
          <t>Trimestral</t>
        </is>
      </c>
      <c r="B20">
        <f>COUNTIF('B̳ases'!$G$2:$G$296,D20)</f>
        <v/>
      </c>
      <c r="C20" s="14">
        <f>SUMIF('B̳ases'!$G$2:$G$296,D20,'B̳ases'!$M$2:$M$296)</f>
        <v/>
      </c>
      <c r="D20" t="inlineStr">
        <is>
          <t>Trimestral</t>
        </is>
      </c>
    </row>
    <row r="21">
      <c r="A21" t="inlineStr">
        <is>
          <t>Anual</t>
        </is>
      </c>
      <c r="B21">
        <f>COUNTIF('B̳ases'!$G$2:$G$296,D21)</f>
        <v/>
      </c>
      <c r="C21" s="14">
        <f>SUMIF('B̳ases'!$G$2:$G$296,D21,'B̳ases'!$M$2:$M$296)</f>
        <v/>
      </c>
      <c r="D21" t="inlineStr">
        <is>
          <t>Anual</t>
        </is>
      </c>
    </row>
    <row r="24">
      <c r="A24" s="16" t="inlineStr">
        <is>
          <t>Renovação automática</t>
        </is>
      </c>
    </row>
    <row r="25">
      <c r="A25" s="17" t="inlineStr">
        <is>
          <t>Renovação</t>
        </is>
      </c>
      <c r="B25" s="17" t="inlineStr">
        <is>
          <t>Assinantes</t>
        </is>
      </c>
      <c r="C25" s="17" t="inlineStr">
        <is>
          <t>Chave</t>
        </is>
      </c>
    </row>
    <row r="26">
      <c r="A26" t="inlineStr">
        <is>
          <t>Com renovação</t>
        </is>
      </c>
      <c r="B26">
        <f>COUNTIF('B̳ases'!$E$2:$E$296,C26)</f>
        <v/>
      </c>
      <c r="C26" t="inlineStr">
        <is>
          <t>Sim</t>
        </is>
      </c>
    </row>
    <row r="27">
      <c r="A27" t="inlineStr">
        <is>
          <t>Sem renovação</t>
        </is>
      </c>
      <c r="B27">
        <f>COUNTIF('B̳ases'!$E$2:$E$296,C27)</f>
        <v/>
      </c>
      <c r="C27" t="inlineStr">
        <is>
          <t>Não</t>
        </is>
      </c>
    </row>
    <row r="30">
      <c r="A30" s="16" t="inlineStr">
        <is>
          <t>Passes adicionais</t>
        </is>
      </c>
    </row>
    <row r="31">
      <c r="A31" s="17" t="inlineStr">
        <is>
          <t>Passe</t>
        </is>
      </c>
      <c r="B31" s="17" t="inlineStr">
        <is>
          <t>Assinantes</t>
        </is>
      </c>
      <c r="C31" s="17" t="inlineStr">
        <is>
          <t>Receita</t>
        </is>
      </c>
    </row>
    <row r="32">
      <c r="A32" t="inlineStr">
        <is>
          <t>EA Play</t>
        </is>
      </c>
      <c r="B32">
        <f>COUNTIF('B̳ases'!$H$2:$H$296,"Sim")</f>
        <v/>
      </c>
      <c r="C32" s="14">
        <f>SUM('B̳ases'!$I$2:$I$296)</f>
        <v/>
      </c>
    </row>
    <row r="33">
      <c r="A33" s="16" t="inlineStr">
        <is>
          <t>Por mês de início (2024)</t>
        </is>
      </c>
      <c r="B33">
        <f>COUNTIF('B̳ases'!$J$2:$J$296,"Sim")</f>
        <v/>
      </c>
      <c r="C33" s="14">
        <f>SUM('B̳ases'!$K$2:$K$296)</f>
        <v/>
      </c>
    </row>
    <row r="34">
      <c r="A34" s="17" t="inlineStr">
        <is>
          <t>Mês</t>
        </is>
      </c>
      <c r="B34" s="17" t="inlineStr">
        <is>
          <t>Novas assinaturas</t>
        </is>
      </c>
      <c r="C34" s="17" t="inlineStr">
        <is>
          <t>Receita</t>
        </is>
      </c>
    </row>
    <row r="35">
      <c r="A35" t="inlineStr">
        <is>
          <t>Jan</t>
        </is>
      </c>
      <c r="B35">
        <f>COUNTIFS('B̳ases'!$D$2:$D$296,"&gt;="&amp;DATE(2024,1,1),'B̳ases'!$D$2:$D$296,"&lt;"&amp;DATE(2024,2,1))</f>
        <v/>
      </c>
      <c r="C35" s="14">
        <f>SUMIFS('B̳ases'!$M$2:$M$296,'B̳ases'!$D$2:$D$296,"&gt;="&amp;DATE(2024,1,1),'B̳ases'!$D$2:$D$296,"&lt;"&amp;DATE(2024,2,1))</f>
        <v/>
      </c>
    </row>
    <row r="36">
      <c r="A36" t="inlineStr">
        <is>
          <t>Fev</t>
        </is>
      </c>
      <c r="B36">
        <f>COUNTIFS('B̳ases'!$D$2:$D$296,"&gt;="&amp;DATE(2024,2,1),'B̳ases'!$D$2:$D$296,"&lt;"&amp;DATE(2024,3,1))</f>
        <v/>
      </c>
      <c r="C36" s="14">
        <f>SUMIFS('B̳ases'!$M$2:$M$296,'B̳ases'!$D$2:$D$296,"&gt;="&amp;DATE(2024,2,1),'B̳ases'!$D$2:$D$296,"&lt;"&amp;DATE(2024,3,1))</f>
        <v/>
      </c>
    </row>
    <row r="37">
      <c r="A37" t="inlineStr">
        <is>
          <t>Mar</t>
        </is>
      </c>
      <c r="B37">
        <f>COUNTIFS('B̳ases'!$D$2:$D$296,"&gt;="&amp;DATE(2024,3,1),'B̳ases'!$D$2:$D$296,"&lt;"&amp;DATE(2024,4,1))</f>
        <v/>
      </c>
      <c r="C37" s="14">
        <f>SUMIFS('B̳ases'!$M$2:$M$296,'B̳ases'!$D$2:$D$296,"&gt;="&amp;DATE(2024,3,1),'B̳ases'!$D$2:$D$296,"&lt;"&amp;DATE(2024,4,1))</f>
        <v/>
      </c>
    </row>
    <row r="38">
      <c r="A38" t="inlineStr">
        <is>
          <t>Abr</t>
        </is>
      </c>
      <c r="B38">
        <f>COUNTIFS('B̳ases'!$D$2:$D$296,"&gt;="&amp;DATE(2024,4,1),'B̳ases'!$D$2:$D$296,"&lt;"&amp;DATE(2024,5,1))</f>
        <v/>
      </c>
      <c r="C38" s="14">
        <f>SUMIFS('B̳ases'!$M$2:$M$296,'B̳ases'!$D$2:$D$296,"&gt;="&amp;DATE(2024,4,1),'B̳ases'!$D$2:$D$296,"&lt;"&amp;DATE(2024,5,1))</f>
        <v/>
      </c>
    </row>
    <row r="39">
      <c r="A39" t="inlineStr">
        <is>
          <t>Mai</t>
        </is>
      </c>
      <c r="B39">
        <f>COUNTIFS('B̳ases'!$D$2:$D$296,"&gt;="&amp;DATE(2024,5,1),'B̳ases'!$D$2:$D$296,"&lt;"&amp;DATE(2024,6,1))</f>
        <v/>
      </c>
      <c r="C39" s="14">
        <f>SUMIFS('B̳ases'!$M$2:$M$296,'B̳ases'!$D$2:$D$296,"&gt;="&amp;DATE(2024,5,1),'B̳ases'!$D$2:$D$296,"&lt;"&amp;DATE(2024,6,1))</f>
        <v/>
      </c>
    </row>
    <row r="40">
      <c r="A40" t="inlineStr">
        <is>
          <t>Jun</t>
        </is>
      </c>
      <c r="B40">
        <f>COUNTIFS('B̳ases'!$D$2:$D$296,"&gt;="&amp;DATE(2024,6,1),'B̳ases'!$D$2:$D$296,"&lt;"&amp;DATE(2024,7,1))</f>
        <v/>
      </c>
      <c r="C40" s="14">
        <f>SUMIFS('B̳ases'!$M$2:$M$296,'B̳ases'!$D$2:$D$296,"&gt;="&amp;DATE(2024,6,1),'B̳ases'!$D$2:$D$296,"&lt;"&amp;DATE(2024,7,1))</f>
        <v/>
      </c>
    </row>
    <row r="41">
      <c r="A41" t="inlineStr">
        <is>
          <t>Jul</t>
        </is>
      </c>
      <c r="B41">
        <f>COUNTIFS('B̳ases'!$D$2:$D$296,"&gt;="&amp;DATE(2024,7,1),'B̳ases'!$D$2:$D$296,"&lt;"&amp;DATE(2024,8,1))</f>
        <v/>
      </c>
      <c r="C41" s="14">
        <f>SUMIFS('B̳ases'!$M$2:$M$296,'B̳ases'!$D$2:$D$296,"&gt;="&amp;DATE(2024,7,1),'B̳ases'!$D$2:$D$296,"&lt;"&amp;DATE(2024,8,1))</f>
        <v/>
      </c>
    </row>
    <row r="42">
      <c r="A42" t="inlineStr">
        <is>
          <t>Ago</t>
        </is>
      </c>
      <c r="B42">
        <f>COUNTIFS('B̳ases'!$D$2:$D$296,"&gt;="&amp;DATE(2024,8,1),'B̳ases'!$D$2:$D$296,"&lt;"&amp;DATE(2024,9,1))</f>
        <v/>
      </c>
      <c r="C42" s="14">
        <f>SUMIFS('B̳ases'!$M$2:$M$296,'B̳ases'!$D$2:$D$296,"&gt;="&amp;DATE(2024,8,1),'B̳ases'!$D$2:$D$296,"&lt;"&amp;DATE(2024,9,1))</f>
        <v/>
      </c>
    </row>
    <row r="43">
      <c r="A43" t="inlineStr">
        <is>
          <t>Set</t>
        </is>
      </c>
      <c r="B43">
        <f>COUNTIFS('B̳ases'!$D$2:$D$296,"&gt;="&amp;DATE(2024,9,1),'B̳ases'!$D$2:$D$296,"&lt;"&amp;DATE(2024,10,1))</f>
        <v/>
      </c>
      <c r="C43" s="14">
        <f>SUMIFS('B̳ases'!$M$2:$M$296,'B̳ases'!$D$2:$D$296,"&gt;="&amp;DATE(2024,9,1),'B̳ases'!$D$2:$D$296,"&lt;"&amp;DATE(2024,10,1))</f>
        <v/>
      </c>
    </row>
    <row r="44">
      <c r="A44" t="inlineStr">
        <is>
          <t>Out</t>
        </is>
      </c>
      <c r="B44">
        <f>COUNTIFS('B̳ases'!$D$2:$D$296,"&gt;="&amp;DATE(2024,10,1),'B̳ases'!$D$2:$D$296,"&lt;"&amp;DATE(2024,11,1))</f>
        <v/>
      </c>
      <c r="C44" s="14">
        <f>SUMIFS('B̳ases'!$M$2:$M$296,'B̳ases'!$D$2:$D$296,"&gt;="&amp;DATE(2024,10,1),'B̳ases'!$D$2:$D$296,"&lt;"&amp;DATE(2024,11,1))</f>
        <v/>
      </c>
    </row>
    <row r="45">
      <c r="A45" t="inlineStr">
        <is>
          <t>Nov</t>
        </is>
      </c>
      <c r="B45">
        <f>COUNTIFS('B̳ases'!$D$2:$D$296,"&gt;="&amp;DATE(2024,11,1),'B̳ases'!$D$2:$D$296,"&lt;"&amp;DATE(2024,12,1))</f>
        <v/>
      </c>
      <c r="C45" s="14">
        <f>SUMIFS('B̳ases'!$M$2:$M$296,'B̳ases'!$D$2:$D$296,"&gt;="&amp;DATE(2024,11,1),'B̳ases'!$D$2:$D$296,"&lt;"&amp;DATE(2024,12,1))</f>
        <v/>
      </c>
    </row>
    <row r="46">
      <c r="A46" t="inlineStr">
        <is>
          <t>Dez</t>
        </is>
      </c>
      <c r="B46">
        <f>COUNTIFS('B̳ases'!$D$2:$D$296,"&gt;="&amp;DATE(2024,12,1),'B̳ases'!$D$2:$D$296,"&lt;"&amp;DATE(2025,1,1))</f>
        <v/>
      </c>
      <c r="C46" s="14">
        <f>SUMIFS('B̳ases'!$M$2:$M$296,'B̳ases'!$D$2:$D$296,"&gt;="&amp;DATE(2024,12,1),'B̳ases'!$D$2:$D$296,"&lt;"&amp;DATE(2025,1,1))</f>
        <v/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0" tabSelected="1" zoomScale="90" zoomScaleNormal="80" workbookViewId="0">
      <selection activeCell="A3" sqref="A3:A4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</row>
    <row r="2" ht="32" customHeight="1">
      <c r="A2" s="18" t="n"/>
      <c r="B2" s="19" t="inlineStr">
        <is>
          <t>Xbox Game Pass | Dashboard de Vendas 2024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</row>
    <row r="3" ht="8.25" customHeight="1">
      <c r="A3" s="18" t="n"/>
      <c r="B3" s="20" t="inlineStr">
        <is>
          <t>Assinantes, receita e passes adicionais</t>
        </is>
      </c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</row>
    <row r="4" ht="7.5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</row>
    <row r="5" ht="4" customHeight="1">
      <c r="A5" s="21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1" t="n"/>
      <c r="W5" s="21" t="n"/>
      <c r="X5" s="21" t="n"/>
    </row>
    <row r="6" ht="9.75" customHeight="1">
      <c r="A6" s="21" t="n"/>
      <c r="B6" s="23" t="inlineStr">
        <is>
          <t>Assinantes</t>
        </is>
      </c>
      <c r="F6" s="23" t="inlineStr">
        <is>
          <t>Receita total</t>
        </is>
      </c>
      <c r="J6" s="23" t="inlineStr">
        <is>
          <t>Ticket médio</t>
        </is>
      </c>
      <c r="N6" s="23" t="inlineStr">
        <is>
          <t>Total em cupons</t>
        </is>
      </c>
      <c r="R6" s="23" t="inlineStr">
        <is>
          <t>Renovação automática</t>
        </is>
      </c>
      <c r="V6" s="21" t="n"/>
      <c r="W6" s="21" t="n"/>
      <c r="X6" s="21" t="n"/>
    </row>
    <row r="7" ht="33" customHeight="1">
      <c r="A7" s="21" t="n"/>
      <c r="B7" s="24">
        <f>'C̳álculos'!B3</f>
        <v/>
      </c>
      <c r="F7" s="25">
        <f>'C̳álculos'!B4</f>
        <v/>
      </c>
      <c r="J7" s="26">
        <f>'C̳álculos'!B5</f>
        <v/>
      </c>
      <c r="N7" s="25">
        <f>'C̳álculos'!B6</f>
        <v/>
      </c>
      <c r="R7" s="27">
        <f>'C̳álculos'!B7</f>
        <v/>
      </c>
      <c r="V7" s="21" t="n"/>
      <c r="W7" s="21" t="n"/>
      <c r="X7" s="21" t="n"/>
    </row>
    <row r="8">
      <c r="A8" s="21" t="n"/>
      <c r="V8" s="21" t="n"/>
      <c r="W8" s="21" t="n"/>
      <c r="X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</row>
  </sheetData>
  <mergeCells count="10">
    <mergeCell ref="N7:Q8"/>
    <mergeCell ref="B6:E6"/>
    <mergeCell ref="J6:M6"/>
    <mergeCell ref="B7:E8"/>
    <mergeCell ref="N6:Q6"/>
    <mergeCell ref="R7:U8"/>
    <mergeCell ref="R6:U6"/>
    <mergeCell ref="F7:I8"/>
    <mergeCell ref="J7:M8"/>
    <mergeCell ref="F6:I6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2026-10-06T12:26:40Z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